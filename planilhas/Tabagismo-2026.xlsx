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S" sheetId="1" r:id="rId5"/>
    <sheet state="hidden" name="abr" sheetId="2" r:id="rId6"/>
    <sheet state="hidden" name="2tri" sheetId="3" r:id="rId7"/>
    <sheet state="hidden" name="mar" sheetId="4" r:id="rId8"/>
    <sheet state="hidden" name="jan" sheetId="5" r:id="rId9"/>
    <sheet state="hidden" name="fev" sheetId="6" r:id="rId10"/>
    <sheet state="hidden" name="mai" sheetId="7" r:id="rId11"/>
    <sheet state="hidden" name="jun" sheetId="8" r:id="rId12"/>
    <sheet state="hidden" name="jul" sheetId="9" r:id="rId13"/>
    <sheet state="visible" name="ago" sheetId="10" r:id="rId14"/>
    <sheet state="hidden" name="set" sheetId="11" r:id="rId15"/>
    <sheet state="hidden" name="out" sheetId="12" r:id="rId16"/>
    <sheet state="hidden" name="nov" sheetId="13" r:id="rId17"/>
    <sheet state="hidden" name="dez" sheetId="14" r:id="rId18"/>
  </sheets>
  <definedNames/>
  <calcPr/>
</workbook>
</file>

<file path=xl/sharedStrings.xml><?xml version="1.0" encoding="utf-8"?>
<sst xmlns="http://schemas.openxmlformats.org/spreadsheetml/2006/main" count="980" uniqueCount="196">
  <si>
    <t>FONTE VITACARE</t>
  </si>
  <si>
    <t>Secretaria Municipal de Sa�de</t>
  </si>
  <si>
    <t>Secretaria Municipal de Saúde</t>
  </si>
  <si>
    <t>Saúde-Rio</t>
  </si>
  <si>
    <t>Sa�de-Rio</t>
  </si>
  <si>
    <t>Clinica Padrao (0000000)</t>
  </si>
  <si>
    <t>Acompanhamento Anual De Uma Pessoa Tabagista (VAR3.G10_T.2023.0)</t>
  </si>
  <si>
    <t>Data: 01.04.2026 a 30.04.2026</t>
  </si>
  <si>
    <t>Data: 01.03.2026 a 31.03.2026</t>
  </si>
  <si>
    <t>Area</t>
  </si>
  <si>
    <t>A (VAR3.G10_A.2023.0)</t>
  </si>
  <si>
    <t>B (VAR3.G10_B.2023.0)</t>
  </si>
  <si>
    <t>C (VAR3.G10_C.2023.0)</t>
  </si>
  <si>
    <t>D (VAR3.G10_D.2023.0)</t>
  </si>
  <si>
    <t>Total</t>
  </si>
  <si>
    <t>GASTAO PENALVA I</t>
  </si>
  <si>
    <t>ANDARAI</t>
  </si>
  <si>
    <t>GASTAO PENALVA II</t>
  </si>
  <si>
    <t>ITORORO</t>
  </si>
  <si>
    <t>SMS CF ANDARAI AP 22</t>
  </si>
  <si>
    <t>Maracan�nzinho</t>
  </si>
  <si>
    <t>Rei Pele</t>
  </si>
  <si>
    <t>Proporção de gestantes com atendimento odontológico realizado nos últimos 12 meses</t>
  </si>
  <si>
    <t>SMS CF MARACANA - AP 22</t>
  </si>
  <si>
    <t>ADOLFO CAMINHA</t>
  </si>
  <si>
    <t>ARAXA</t>
  </si>
  <si>
    <t>ESPERANCA</t>
  </si>
  <si>
    <t>FURNAS</t>
  </si>
  <si>
    <t>SANTO ESTEVAO</t>
  </si>
  <si>
    <t>UBERABA</t>
  </si>
  <si>
    <t>UNIDADE</t>
  </si>
  <si>
    <t>SMS CF ODALEA FIRMO DUTRA AP 22</t>
  </si>
  <si>
    <t>CARUARU</t>
  </si>
  <si>
    <t>MARTINHO DA VILA</t>
  </si>
  <si>
    <t>NOEL ROSA</t>
  </si>
  <si>
    <t>JAN</t>
  </si>
  <si>
    <t>POPULAR</t>
  </si>
  <si>
    <t>SMS CF RECANTO DO TROVADOR AP 22</t>
  </si>
  <si>
    <t>FEV</t>
  </si>
  <si>
    <t>MAR</t>
  </si>
  <si>
    <t>LADEIRA DO MOREIRA</t>
  </si>
  <si>
    <t>ABR</t>
  </si>
  <si>
    <t>MAI</t>
  </si>
  <si>
    <t>JUN</t>
  </si>
  <si>
    <t>SEMENTE</t>
  </si>
  <si>
    <t>JUL</t>
  </si>
  <si>
    <t>AGO</t>
  </si>
  <si>
    <t>SET</t>
  </si>
  <si>
    <t>TERREIRAO</t>
  </si>
  <si>
    <t>OUT</t>
  </si>
  <si>
    <t>NOV</t>
  </si>
  <si>
    <t>DEZ</t>
  </si>
  <si>
    <t>SMS CMS CARLOS FIGUEIREDO FILHO BOREL AP 22</t>
  </si>
  <si>
    <t>1 trim</t>
  </si>
  <si>
    <t>CASA BRANCA</t>
  </si>
  <si>
    <t>2 trim</t>
  </si>
  <si>
    <t>3 trim</t>
  </si>
  <si>
    <t>4 trim</t>
  </si>
  <si>
    <t>CHACARA DO CEU</t>
  </si>
  <si>
    <t>CF OFD</t>
  </si>
  <si>
    <t>SMS CMS CASA BRANCA AP 22</t>
  </si>
  <si>
    <t>ALZIRA BRANDAO</t>
  </si>
  <si>
    <t>ANTONIO BASILIO ESF</t>
  </si>
  <si>
    <t>BARAO DE PIRASSINUNGA</t>
  </si>
  <si>
    <t>CATRAMBI I **</t>
  </si>
  <si>
    <t>CATRAMBI I</t>
  </si>
  <si>
    <t>CATRAMBI II</t>
  </si>
  <si>
    <t>CATRAMBI III</t>
  </si>
  <si>
    <t>DONA DELFINA</t>
  </si>
  <si>
    <t>MARIA AMALIA ESF</t>
  </si>
  <si>
    <t>PINHEIRO DA CUNHA ESF</t>
  </si>
  <si>
    <t>PRACA VARNHAGEM</t>
  </si>
  <si>
    <t>RAIZES DO SALGUEIRO ESF</t>
  </si>
  <si>
    <t>SABOIA LIMA I **</t>
  </si>
  <si>
    <t>SABOIA LIMA I</t>
  </si>
  <si>
    <t>SABOIA LIMA II</t>
  </si>
  <si>
    <t>SABOIA LIMA III</t>
  </si>
  <si>
    <t>SALGUEIRO</t>
  </si>
  <si>
    <t>SANTA SOFIA</t>
  </si>
  <si>
    <t>SAO FRANCISCO I **</t>
  </si>
  <si>
    <t>SAO FRANCISCO I</t>
  </si>
  <si>
    <t>SAO FRANCISCO II</t>
  </si>
  <si>
    <t>SAO FRANCISCO III</t>
  </si>
  <si>
    <t>XAVIER DE BRITO</t>
  </si>
  <si>
    <t>SMS CMS HEITOR BELTRAO AP 22</t>
  </si>
  <si>
    <t>AFONSO PENA</t>
  </si>
  <si>
    <t>BANDEIRA I **</t>
  </si>
  <si>
    <t>BANDEIRA I</t>
  </si>
  <si>
    <t>BANDEIRA II</t>
  </si>
  <si>
    <t>BANDEIRA III</t>
  </si>
  <si>
    <t>CANABARRO</t>
  </si>
  <si>
    <t>CAPUCHINHOS</t>
  </si>
  <si>
    <t>MARACANA</t>
  </si>
  <si>
    <t>MARIZ E BARROS ESF</t>
  </si>
  <si>
    <t>MATOSO I **</t>
  </si>
  <si>
    <t>MATOSO I</t>
  </si>
  <si>
    <t>MATOSO II</t>
  </si>
  <si>
    <t>MATOSO III</t>
  </si>
  <si>
    <t>SENADOR FURTADO ESF</t>
  </si>
  <si>
    <t>VILLA LOBOS</t>
  </si>
  <si>
    <t>SMS CMS HELIO PELLEGRINO AP 22</t>
  </si>
  <si>
    <t>BARAO DE COTEGIPE</t>
  </si>
  <si>
    <t>CONSELHEIRO</t>
  </si>
  <si>
    <t>MANOEL DE ABREU</t>
  </si>
  <si>
    <t>MIGUEL PEDRO</t>
  </si>
  <si>
    <t>PETROCOCHINO</t>
  </si>
  <si>
    <t>SANTA ISABEL</t>
  </si>
  <si>
    <t>SENADOR</t>
  </si>
  <si>
    <t>SOUZA FRANCO</t>
  </si>
  <si>
    <t>VIA LACTEA</t>
  </si>
  <si>
    <t>VILA OPERARIA ESF</t>
  </si>
  <si>
    <t>SMS CMS MARIA AUGUSTA ESTRELLA AP 22</t>
  </si>
  <si>
    <t>BOA VISTA</t>
  </si>
  <si>
    <t>CACHOEIRA</t>
  </si>
  <si>
    <t>FLORESTA DA TIJUCA</t>
  </si>
  <si>
    <t>SMS CMS NICOLA ALBANO AP 22</t>
  </si>
  <si>
    <t>CASCATA</t>
  </si>
  <si>
    <t>RAIA</t>
  </si>
  <si>
    <t>SMS CMS NILZA ROSA AP 22</t>
  </si>
  <si>
    <t>AP 2.2</t>
  </si>
  <si>
    <t>A - Ter registro de tabagismo na Ficha A. (VAR3 G10_A 2023.0)</t>
  </si>
  <si>
    <t>B - Ter realizado pelo menos 6 consultas com c�digo SIGTAP 03.01.01.009-9 ou 03.01.08.001-1</t>
  </si>
  <si>
    <t>nos �ltimos 12 meses</t>
  </si>
  <si>
    <t>podendo ser realizada por m�dico(a)</t>
  </si>
  <si>
    <t>enfermeiro(a) ou cirurgi�o(�) dentista. (VAR3 G10_B 2023.0)</t>
  </si>
  <si>
    <t>C - Ter realizado pelo menos um atendimento (procedimento odontol�gico individual ou atividade educativa em grupo de sa�de) por CD</t>
  </si>
  <si>
    <t>TSB ou ASB</t>
  </si>
  <si>
    <t>com o c�digo SIGTAP 01.01.02.004-0 ou 03.01.01.015-3 ou 01.01.01.001-0 ou 01.01.02.001-5 ou 01.01.02.002-3 ou 01.01.02.003-1 ou 01.01.02.004-0. Caso n�o haja eSB vinculada a equipe</t>
  </si>
  <si>
    <t>n�o se considera este item. (VAR3 G10_C 2023.0)</t>
  </si>
  <si>
    <t>D - N�o ter recebido LC no grupo de a��o 10 para o mesmo paciente nos �ltimos 12 meses. (VAR3 G10_D 2023.0)</t>
  </si>
  <si>
    <t>Total - Um paciente � considerado neste grupo se forem verdadeiras as condi��es [A+B+C+D].</t>
  </si>
  <si>
    <t>CF RT</t>
  </si>
  <si>
    <t>B - Ter realizado pelo menos 6 consultas com código SIGTAP 03.01.01.009-9 ou 03.01.08.001-1, nos últimos 12 meses, podendo ser realizada por médico(a), enfermeiro(a) ou cirurgião(ã) dentista. (VAR3 G10_B 2023.0)</t>
  </si>
  <si>
    <t>C - Ter realizado pelo menos um atendimento (procedimento odontológico individual ou atividade educativa em grupo de saúde) por CD, TSB ou ASB, com o código SIGTAP 01.01.02.004-0 ou 03.01.01.015-3 ou 01.01.01.001-0 ou 01.01.02.001-5 ou 01.01.02.002-3 ou 01.01.02.003-1 ou 01.01.02.004-0. Caso não haja eSB vinculada a equipe, não se considera este item. (VAR3 G10_C 2023.0)</t>
  </si>
  <si>
    <t>D - Não ter recebido LC no grupo de ação 10 para o mesmo paciente nos últimos 12 meses. (VAR3 G10_D 2023.0)</t>
  </si>
  <si>
    <t>Total - Um paciente é considerado neste grupo se forem verdadeiras as condições [A+B+C+D].</t>
  </si>
  <si>
    <t>CMS CFF</t>
  </si>
  <si>
    <t>CMS CB</t>
  </si>
  <si>
    <t>CMS HB</t>
  </si>
  <si>
    <t>Data: 01.01.2026 a 31.01.2026</t>
  </si>
  <si>
    <t>CMS HP</t>
  </si>
  <si>
    <t>CMS MAE</t>
  </si>
  <si>
    <t>Data: 01.02.2026 a 28.02.2026</t>
  </si>
  <si>
    <t>Data: 01.05.2026 a 31.05.2026</t>
  </si>
  <si>
    <t>CMS NA</t>
  </si>
  <si>
    <t>CMS NR</t>
  </si>
  <si>
    <t>CAP 2.2</t>
  </si>
  <si>
    <t>Numerador - atendidas pela odonto</t>
  </si>
  <si>
    <t>Numero de gestantes que passaram pela odonto antes do encerramento do pré natal</t>
  </si>
  <si>
    <t xml:space="preserve">CF ODALEA FIRMO DUTRA </t>
  </si>
  <si>
    <t>ADOLFO CAMINHA ESB</t>
  </si>
  <si>
    <t>SANTO ESTEVAO ESB</t>
  </si>
  <si>
    <t>Data: 01.06.2026 a 30.06.2026</t>
  </si>
  <si>
    <t>ARAXA ESB</t>
  </si>
  <si>
    <t>Data: 01.07.2026 a 31.07.2026</t>
  </si>
  <si>
    <t>FURNAS ESB</t>
  </si>
  <si>
    <t>Data: 01.08.2026 a 31.08.2026</t>
  </si>
  <si>
    <t xml:space="preserve">CF RECANTO DO TROVADOR </t>
  </si>
  <si>
    <t>POPULAR ESB</t>
  </si>
  <si>
    <t>B - Ter realizado pelo menos 6 consultas com código SIGTAP 03.01.01.009-9 ou 03.01.08.001-1</t>
  </si>
  <si>
    <t>nos últimos 12 meses</t>
  </si>
  <si>
    <t>podendo ser realizada por médico(a)</t>
  </si>
  <si>
    <t>enfermeiro(a) ou cirurgião(ã) dentista. (VAR3 G10_B 2023.0)</t>
  </si>
  <si>
    <t>C - Ter realizado pelo menos um atendimento (procedimento odontológico individual ou atividade educativa em grupo de saúde) por CD</t>
  </si>
  <si>
    <t>com o código SIGTAP 01.01.02.004-0 ou 03.01.01.015-3 ou 01.01.01.001-0 ou 01.01.02.001-5 ou 01.01.02.002-3 ou 01.01.02.003-1 ou 01.01.02.004-0. Caso não haja eSB vinculada a equipe</t>
  </si>
  <si>
    <t>não se considera este item. (VAR3 G10_C 2023.0)</t>
  </si>
  <si>
    <t>MARTINHO DA VILA ESB</t>
  </si>
  <si>
    <t>CMS CARLOS FIGUEIREDO FILHO</t>
  </si>
  <si>
    <t>TERREIRAO ESB</t>
  </si>
  <si>
    <t>SEMENTE ESB</t>
  </si>
  <si>
    <t>CMS CASA BRANCA</t>
  </si>
  <si>
    <t>CASA BRANCA ESB</t>
  </si>
  <si>
    <t>CMS HEITOR BELTRÃO</t>
  </si>
  <si>
    <t>SALGUEIRO ESB</t>
  </si>
  <si>
    <t>BARAO DE PIRASSINUNGA ESB</t>
  </si>
  <si>
    <t>CATRAMBI ESB</t>
  </si>
  <si>
    <t>SABOIA LIMA ESB</t>
  </si>
  <si>
    <t>CMS HÉLIO PELLEGRINO</t>
  </si>
  <si>
    <t>VILLA LOBOS ESB</t>
  </si>
  <si>
    <t>PRACA DA BANDEIRA ESB 1</t>
  </si>
  <si>
    <t>BANDEIRA ESB</t>
  </si>
  <si>
    <t>CMS MARIA AUGUSTA ESTRELLA</t>
  </si>
  <si>
    <t>SENADOR ESB</t>
  </si>
  <si>
    <t>MIGUEL PEDRO ESB</t>
  </si>
  <si>
    <t>CONSELHEIRO ESB</t>
  </si>
  <si>
    <t>CMS NICOLA ALBANO</t>
  </si>
  <si>
    <t>BOA VISTA ESB</t>
  </si>
  <si>
    <t>CMS NILZA ROSA</t>
  </si>
  <si>
    <t>RAIA ESB</t>
  </si>
  <si>
    <t>Denominador - PN encerrado</t>
  </si>
  <si>
    <t>Número de gestantes que encerraram o pré natal no mês</t>
  </si>
  <si>
    <t>INDICADOR POR EQUIPE</t>
  </si>
  <si>
    <t>Proporção de gestantes com atendimento odontológico realizado nos últimos 12 meses por equipe</t>
  </si>
  <si>
    <t xml:space="preserve">CF RECANTO DO TROVADOR 1939513  + 1939440  +(  2263874 )   </t>
  </si>
  <si>
    <t>CMS CARLOS FIGUEIREDO FILHO 2274035 + 1939416 + ladeira</t>
  </si>
  <si>
    <t>CMS MARIA AUGUSTA ESTRELLA 2230305 + 2179253 + 2179245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</si>
</sst>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theme="1"/>
      <name val="Arial"/>
    </font>
    <font>
      <b/>
      <sz val="12.0"/>
      <color rgb="FFFFFFFF"/>
      <name val="Calibri"/>
    </font>
    <font/>
    <font>
      <b/>
      <sz val="12.0"/>
      <color theme="1"/>
      <name val="Calibri"/>
    </font>
    <font>
      <b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A6C9EC"/>
        <bgColor rgb="FFA6C9E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5B9BD5"/>
      </left>
      <right style="thin">
        <color rgb="FF5B9BD5"/>
      </right>
      <bottom style="thin">
        <color rgb="FF5B9BD5"/>
      </bottom>
    </border>
    <border>
      <left style="thin">
        <color rgb="FF5B9BD5"/>
      </left>
      <bottom style="thin">
        <color rgb="FF5B9BD5"/>
      </bottom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  <border>
      <left style="thin">
        <color rgb="FF5B9BD5"/>
      </left>
      <right style="thin">
        <color rgb="FF5B9BD5"/>
      </right>
      <top style="thin">
        <color rgb="FF5B9BD5"/>
      </top>
    </border>
    <border>
      <left style="thin">
        <color rgb="FF5B9BD5"/>
      </left>
      <right style="thin">
        <color rgb="FF5B9BD5"/>
      </right>
    </border>
    <border>
      <right style="thin">
        <color rgb="FF4F81BD"/>
      </right>
      <top style="thin">
        <color rgb="FF4F81BD"/>
      </top>
      <bottom style="thin">
        <color rgb="FF4F81BD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shrinkToFit="0" vertical="bottom" wrapText="0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center" readingOrder="0" vertical="bottom"/>
    </xf>
    <xf borderId="2" fillId="0" fontId="5" numFmtId="0" xfId="0" applyBorder="1" applyFont="1"/>
    <xf borderId="3" fillId="3" fontId="6" numFmtId="0" xfId="0" applyAlignment="1" applyBorder="1" applyFill="1" applyFont="1">
      <alignment horizontal="center" shrinkToFit="0" vertical="bottom" wrapText="1"/>
    </xf>
    <xf borderId="3" fillId="3" fontId="7" numFmtId="0" xfId="0" applyAlignment="1" applyBorder="1" applyFill="1" applyFont="1">
      <alignment horizontal="center" readingOrder="0" vertical="bottom"/>
    </xf>
    <xf borderId="3" fillId="3" fontId="8" numFmtId="0" xfId="0" applyAlignment="1" applyBorder="1" applyFill="1" applyFont="1">
      <alignment horizontal="center" vertical="bottom"/>
    </xf>
    <xf borderId="3" fillId="3" fontId="9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readingOrder="0" vertical="bottom"/>
    </xf>
    <xf borderId="5" fillId="0" fontId="7" numFmtId="10" xfId="0" applyAlignment="1" applyBorder="1" applyFont="1" applyNumberFormat="1">
      <alignment horizontal="center" vertical="bottom"/>
    </xf>
    <xf borderId="3" fillId="0" fontId="10" numFmtId="10" xfId="0" applyAlignment="1" applyBorder="1" applyFont="1" applyNumberFormat="1">
      <alignment horizontal="center" vertical="bottom"/>
    </xf>
    <xf borderId="6" fillId="0" fontId="10" numFmtId="0" xfId="0" applyAlignment="1" applyBorder="1" applyFont="1">
      <alignment readingOrder="0" vertical="bottom"/>
    </xf>
    <xf borderId="7" fillId="0" fontId="10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3" fillId="0" fontId="6" numFmtId="0" xfId="0" applyAlignment="1" applyBorder="1" applyFont="1">
      <alignment vertical="bottom"/>
    </xf>
    <xf borderId="3" fillId="3" fontId="3" numFmtId="0" xfId="0" applyAlignment="1" applyBorder="1" applyFill="1" applyFont="1">
      <alignment vertical="bottom"/>
    </xf>
    <xf borderId="3" fillId="3" fontId="9" numFmtId="4" xfId="0" applyAlignment="1" applyBorder="1" applyFill="1" applyFont="1" applyNumberFormat="1">
      <alignment horizontal="center" vertical="bottom"/>
    </xf>
    <xf borderId="8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bottom"/>
    </xf>
    <xf borderId="3" fillId="0" fontId="10" numFmtId="4" xfId="0" applyAlignment="1" applyBorder="1" applyFont="1" applyNumberFormat="1">
      <alignment horizontal="center" vertical="bottom"/>
    </xf>
    <xf borderId="8" fillId="0" fontId="5" numFmtId="0" xfId="0" applyBorder="1" applyFont="1"/>
    <xf borderId="4" fillId="0" fontId="5" numFmtId="0" xfId="0" applyBorder="1" applyFont="1"/>
    <xf borderId="7" fillId="0" fontId="10" numFmtId="0" xfId="0" applyAlignment="1" applyBorder="1" applyFont="1">
      <alignment readingOrder="0" vertic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6" fillId="0" fontId="10" numFmtId="0" xfId="0" applyAlignment="1" applyBorder="1" applyFont="1">
      <alignment vertical="center"/>
    </xf>
    <xf borderId="7" fillId="0" fontId="10" numFmtId="0" xfId="0" applyBorder="1" applyFont="1"/>
    <xf borderId="0" fillId="4" fontId="10" numFmtId="4" xfId="0" applyAlignment="1" applyFill="1" applyFont="1" applyNumberFormat="1">
      <alignment horizontal="center" vertical="bottom"/>
    </xf>
    <xf borderId="0" fillId="4" fontId="11" numFmtId="4" xfId="0" applyAlignment="1" applyFill="1" applyFont="1" applyNumberFormat="1">
      <alignment vertical="bottom"/>
    </xf>
    <xf borderId="0" fillId="0" fontId="11" numFmtId="0" xfId="0" applyAlignment="1" applyFont="1">
      <alignment vertical="bottom"/>
    </xf>
    <xf borderId="7" fillId="0" fontId="10" numFmtId="0" xfId="0" applyAlignment="1" applyBorder="1" applyFont="1">
      <alignment vertical="center"/>
    </xf>
    <xf borderId="9" fillId="0" fontId="10" numFmtId="4" xfId="0" applyAlignment="1" applyBorder="1" applyFont="1" applyNumberFormat="1">
      <alignment vertical="bottom"/>
    </xf>
    <xf borderId="9" fillId="0" fontId="10" numFmtId="4" xfId="0" applyAlignment="1" applyBorder="1" applyFont="1" applyNumberFormat="1">
      <alignment vertical="center"/>
    </xf>
    <xf borderId="9" fillId="0" fontId="3" numFmtId="4" xfId="0" applyAlignment="1" applyBorder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center"/>
    </xf>
    <xf borderId="1" fillId="4" fontId="3" numFmtId="0" xfId="0" applyAlignment="1" applyBorder="1" applyFill="1" applyFont="1">
      <alignment vertical="center"/>
    </xf>
    <xf borderId="0" fillId="4" fontId="6" numFmtId="0" xfId="0" applyAlignment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0" numFmtId="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2.71"/>
    <col customWidth="1" min="2" max="2" width="17.14"/>
  </cols>
  <sheetData>
    <row r="1">
      <c r="A1" s="3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8"/>
    </row>
    <row r="2">
      <c r="A2" s="11"/>
      <c r="B2" s="12"/>
      <c r="C2" s="13" t="s">
        <v>22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5" t="s">
        <v>30</v>
      </c>
      <c r="B3" s="16">
        <v>2026.0</v>
      </c>
      <c r="C3" s="17" t="s">
        <v>35</v>
      </c>
      <c r="D3" s="17" t="s">
        <v>38</v>
      </c>
      <c r="E3" s="17" t="s">
        <v>39</v>
      </c>
      <c r="F3" s="17" t="s">
        <v>41</v>
      </c>
      <c r="G3" s="17" t="s">
        <v>42</v>
      </c>
      <c r="H3" s="17" t="s">
        <v>43</v>
      </c>
      <c r="I3" s="17" t="s">
        <v>45</v>
      </c>
      <c r="J3" s="17" t="s">
        <v>46</v>
      </c>
      <c r="K3" s="17" t="s">
        <v>47</v>
      </c>
      <c r="L3" s="17" t="s">
        <v>49</v>
      </c>
      <c r="M3" s="17" t="s">
        <v>50</v>
      </c>
      <c r="N3" s="17" t="s">
        <v>51</v>
      </c>
      <c r="O3" s="18" t="s">
        <v>53</v>
      </c>
      <c r="P3" s="18" t="s">
        <v>55</v>
      </c>
      <c r="Q3" s="18" t="s">
        <v>56</v>
      </c>
      <c r="R3" s="18" t="s">
        <v>57</v>
      </c>
      <c r="S3" s="8"/>
      <c r="T3" s="8"/>
      <c r="U3" s="8"/>
      <c r="V3" s="8"/>
      <c r="W3" s="8"/>
      <c r="X3" s="8"/>
    </row>
    <row r="4">
      <c r="A4" s="19" t="s">
        <v>59</v>
      </c>
      <c r="B4" s="20">
        <f>SUM(C18:N21)/SUM(C44:N47)</f>
        <v>0.2753072626</v>
      </c>
      <c r="C4" s="21">
        <f t="shared" ref="C4:F4" si="1">(C$18+C$19+C$20+C$21)/(C$44+C$45+C$46+C$47)</f>
        <v>0.3184713376</v>
      </c>
      <c r="D4" s="21">
        <f t="shared" si="1"/>
        <v>0.3276955603</v>
      </c>
      <c r="E4" s="21">
        <f t="shared" si="1"/>
        <v>0.2913669065</v>
      </c>
      <c r="F4" s="21">
        <f t="shared" si="1"/>
        <v>0.2906137184</v>
      </c>
      <c r="G4" s="21">
        <f t="shared" ref="G4:N4" si="2">IF((G$44+G$45+G$46+G$47)=0,"-",(G$18+G$19+G$20+G$21)/(G$44+G$45+G$46+G$47))</f>
        <v>0.2476038339</v>
      </c>
      <c r="H4" s="21">
        <f t="shared" si="2"/>
        <v>0.2427350427</v>
      </c>
      <c r="I4" s="21">
        <f t="shared" si="2"/>
        <v>0.2600671141</v>
      </c>
      <c r="J4" s="21">
        <f t="shared" si="2"/>
        <v>0.2475570033</v>
      </c>
      <c r="K4" s="21" t="str">
        <f t="shared" si="2"/>
        <v>-</v>
      </c>
      <c r="L4" s="21" t="str">
        <f t="shared" si="2"/>
        <v>-</v>
      </c>
      <c r="M4" s="21" t="str">
        <f t="shared" si="2"/>
        <v>-</v>
      </c>
      <c r="N4" s="21" t="str">
        <f t="shared" si="2"/>
        <v>-</v>
      </c>
      <c r="O4" s="21">
        <f t="shared" ref="O4:R4" si="3">IF((O$44+O$45+O$46+O$47)=0,"0",(O$18+O$19+O$20+O$21)/(O$44+O$45+O$46+O$47))</f>
        <v>0.3113333333</v>
      </c>
      <c r="P4" s="21">
        <f t="shared" si="3"/>
        <v>0.259490085</v>
      </c>
      <c r="Q4" s="21">
        <f t="shared" si="3"/>
        <v>0.2537190083</v>
      </c>
      <c r="R4" s="21" t="str">
        <f t="shared" si="3"/>
        <v>0</v>
      </c>
      <c r="S4" s="8"/>
      <c r="T4" s="8"/>
      <c r="U4" s="8"/>
      <c r="V4" s="8"/>
      <c r="W4" s="8"/>
      <c r="X4" s="8"/>
    </row>
    <row r="5">
      <c r="A5" s="22" t="s">
        <v>131</v>
      </c>
      <c r="B5" s="20">
        <f>SUM(C22:N23)/SUM(C48:N49)</f>
        <v>0.2996706915</v>
      </c>
      <c r="C5" s="21">
        <f t="shared" ref="C5:F5" si="4">(C$22+C$23)/(C$48+C$49)</f>
        <v>0.2743902439</v>
      </c>
      <c r="D5" s="21">
        <f t="shared" si="4"/>
        <v>0.2759643917</v>
      </c>
      <c r="E5" s="21">
        <f t="shared" si="4"/>
        <v>0.2772861357</v>
      </c>
      <c r="F5" s="21">
        <f t="shared" si="4"/>
        <v>0.2857142857</v>
      </c>
      <c r="G5" s="21">
        <f t="shared" ref="G5:N5" si="5">IF((G$48+G$49)=0,"-",(G$22+G$23)/(G$48+G$49))</f>
        <v>0.3090379009</v>
      </c>
      <c r="H5" s="21">
        <f t="shared" si="5"/>
        <v>0.3333333333</v>
      </c>
      <c r="I5" s="21">
        <f t="shared" si="5"/>
        <v>0.3196480938</v>
      </c>
      <c r="J5" s="21">
        <f t="shared" si="5"/>
        <v>0.3192090395</v>
      </c>
      <c r="K5" s="21" t="str">
        <f t="shared" si="5"/>
        <v>-</v>
      </c>
      <c r="L5" s="21" t="str">
        <f t="shared" si="5"/>
        <v>-</v>
      </c>
      <c r="M5" s="21" t="str">
        <f t="shared" si="5"/>
        <v>-</v>
      </c>
      <c r="N5" s="21" t="str">
        <f t="shared" si="5"/>
        <v>-</v>
      </c>
      <c r="O5" s="21">
        <f t="shared" ref="O5:R5" si="6">IF((O$48+O$49)=0,"0",(O$22+O$23)/(O$48+O$49))</f>
        <v>0.2758964143</v>
      </c>
      <c r="P5" s="21">
        <f t="shared" si="6"/>
        <v>0.3094777563</v>
      </c>
      <c r="Q5" s="21">
        <f t="shared" si="6"/>
        <v>0.3194244604</v>
      </c>
      <c r="R5" s="21" t="str">
        <f t="shared" si="6"/>
        <v>0</v>
      </c>
      <c r="S5" s="8"/>
      <c r="T5" s="8"/>
      <c r="U5" s="8"/>
      <c r="V5" s="8"/>
      <c r="W5" s="8"/>
      <c r="X5" s="8"/>
    </row>
    <row r="6">
      <c r="A6" s="22" t="s">
        <v>136</v>
      </c>
      <c r="B6" s="20">
        <f>SUM(C24:N25)/SUM(C50:N51)</f>
        <v>0.3171404913</v>
      </c>
      <c r="C6" s="21">
        <f t="shared" ref="C6:F6" si="7">(C$24+C$25)/(C$50+C$51)</f>
        <v>0.3216783217</v>
      </c>
      <c r="D6" s="21">
        <f t="shared" si="7"/>
        <v>0.3137697517</v>
      </c>
      <c r="E6" s="21">
        <f t="shared" si="7"/>
        <v>0.3184855234</v>
      </c>
      <c r="F6" s="21">
        <f t="shared" si="7"/>
        <v>0.3134657837</v>
      </c>
      <c r="G6" s="21">
        <f t="shared" ref="G6:N6" si="8">IF((G$50+G$51)=0,"-",(G$24+G$25)/(G$50+G$51))</f>
        <v>0.3114035088</v>
      </c>
      <c r="H6" s="21">
        <f t="shared" si="8"/>
        <v>0.316017316</v>
      </c>
      <c r="I6" s="21">
        <f t="shared" si="8"/>
        <v>0.3195652174</v>
      </c>
      <c r="J6" s="21">
        <f t="shared" si="8"/>
        <v>0.3227176221</v>
      </c>
      <c r="K6" s="21" t="str">
        <f t="shared" si="8"/>
        <v>-</v>
      </c>
      <c r="L6" s="21" t="str">
        <f t="shared" si="8"/>
        <v>-</v>
      </c>
      <c r="M6" s="21" t="str">
        <f t="shared" si="8"/>
        <v>-</v>
      </c>
      <c r="N6" s="21" t="str">
        <f t="shared" si="8"/>
        <v>-</v>
      </c>
      <c r="O6" s="21">
        <f t="shared" ref="O6:R6" si="9">IF((O$50+O$51)=0,"0",(O$24+O$25)/(O$50+O$51))</f>
        <v>0.3179409538</v>
      </c>
      <c r="P6" s="21">
        <f t="shared" si="9"/>
        <v>0.3136396791</v>
      </c>
      <c r="Q6" s="21">
        <f t="shared" si="9"/>
        <v>0.321160043</v>
      </c>
      <c r="R6" s="21" t="str">
        <f t="shared" si="9"/>
        <v>0</v>
      </c>
      <c r="S6" s="8"/>
      <c r="T6" s="8"/>
      <c r="U6" s="8"/>
      <c r="V6" s="8"/>
      <c r="W6" s="8"/>
      <c r="X6" s="8"/>
    </row>
    <row r="7">
      <c r="A7" s="22" t="s">
        <v>137</v>
      </c>
      <c r="B7" s="20">
        <f>SUM(C26:N26)/SUM(C52:N52)</f>
        <v>0.2258064516</v>
      </c>
      <c r="C7" s="21">
        <f t="shared" ref="C7:F7" si="10">(C$26)/(C$52)</f>
        <v>0.1806451613</v>
      </c>
      <c r="D7" s="21">
        <f t="shared" si="10"/>
        <v>0.1935483871</v>
      </c>
      <c r="E7" s="21">
        <f t="shared" si="10"/>
        <v>0.2201257862</v>
      </c>
      <c r="F7" s="21">
        <f t="shared" si="10"/>
        <v>0.2121212121</v>
      </c>
      <c r="G7" s="21">
        <f t="shared" ref="G7:N7" si="11">IF((G$52)=0,"-",(G$26)/(G$52))</f>
        <v>0.1790123457</v>
      </c>
      <c r="H7" s="21">
        <f t="shared" si="11"/>
        <v>0.2321428571</v>
      </c>
      <c r="I7" s="21">
        <f t="shared" si="11"/>
        <v>0.2678571429</v>
      </c>
      <c r="J7" s="21">
        <f t="shared" si="11"/>
        <v>0.3117647059</v>
      </c>
      <c r="K7" s="21" t="str">
        <f t="shared" si="11"/>
        <v>-</v>
      </c>
      <c r="L7" s="21" t="str">
        <f t="shared" si="11"/>
        <v>-</v>
      </c>
      <c r="M7" s="21" t="str">
        <f t="shared" si="11"/>
        <v>-</v>
      </c>
      <c r="N7" s="21" t="str">
        <f t="shared" si="11"/>
        <v>-</v>
      </c>
      <c r="O7" s="21">
        <f t="shared" ref="O7:R7" si="12">IF((O$52)=0,"0",(O$26)/(O$52))</f>
        <v>0.1982942431</v>
      </c>
      <c r="P7" s="21">
        <f t="shared" si="12"/>
        <v>0.2080808081</v>
      </c>
      <c r="Q7" s="21">
        <f t="shared" si="12"/>
        <v>0.2899408284</v>
      </c>
      <c r="R7" s="21" t="str">
        <f t="shared" si="12"/>
        <v>0</v>
      </c>
      <c r="S7" s="8"/>
      <c r="T7" s="8"/>
      <c r="U7" s="8"/>
      <c r="V7" s="8"/>
      <c r="W7" s="8"/>
      <c r="X7" s="8"/>
    </row>
    <row r="8">
      <c r="A8" s="22" t="s">
        <v>138</v>
      </c>
      <c r="B8" s="20">
        <f>SUM(C27:N30)/SUM(C53:N56)</f>
        <v>0.1554906387</v>
      </c>
      <c r="C8" s="21">
        <f t="shared" ref="C8:F8" si="13">(C$27+C$28+C$29+C$30)/(C$53+C$54+C$55+C$56)</f>
        <v>0.1754574812</v>
      </c>
      <c r="D8" s="21">
        <f t="shared" si="13"/>
        <v>0.1629392971</v>
      </c>
      <c r="E8" s="21">
        <f t="shared" si="13"/>
        <v>0.1643243243</v>
      </c>
      <c r="F8" s="21">
        <f t="shared" si="13"/>
        <v>0.1567164179</v>
      </c>
      <c r="G8" s="21">
        <f t="shared" ref="G8:N8" si="14">IF((G$53+G$54+G$55+G$56)=0,"-",(G$27+G$28+G$29+G$30)/(G$53+G$54+G$55+G$56))</f>
        <v>0.1529411765</v>
      </c>
      <c r="H8" s="21">
        <f t="shared" si="14"/>
        <v>0.1463157895</v>
      </c>
      <c r="I8" s="21">
        <f t="shared" si="14"/>
        <v>0.1445026178</v>
      </c>
      <c r="J8" s="21">
        <f t="shared" si="14"/>
        <v>0.1416666667</v>
      </c>
      <c r="K8" s="21" t="str">
        <f t="shared" si="14"/>
        <v>-</v>
      </c>
      <c r="L8" s="21" t="str">
        <f t="shared" si="14"/>
        <v>-</v>
      </c>
      <c r="M8" s="21" t="str">
        <f t="shared" si="14"/>
        <v>-</v>
      </c>
      <c r="N8" s="21" t="str">
        <f t="shared" si="14"/>
        <v>-</v>
      </c>
      <c r="O8" s="21">
        <f t="shared" ref="O8:R8" si="15">IF((O$53+O$54+O$55+O$56)=0,"0",(O$27+O$28+O$29+O$30)/(O$53+O$54+O$55+O$56))</f>
        <v>0.1675617615</v>
      </c>
      <c r="P8" s="21">
        <f t="shared" si="15"/>
        <v>0.1519659936</v>
      </c>
      <c r="Q8" s="21">
        <f t="shared" si="15"/>
        <v>0.1430809399</v>
      </c>
      <c r="R8" s="21" t="str">
        <f t="shared" si="15"/>
        <v>0</v>
      </c>
      <c r="S8" s="8"/>
      <c r="T8" s="8"/>
      <c r="U8" s="8"/>
      <c r="V8" s="8"/>
      <c r="W8" s="8"/>
      <c r="X8" s="8"/>
    </row>
    <row r="9">
      <c r="A9" s="22" t="s">
        <v>140</v>
      </c>
      <c r="B9" s="20">
        <f>SUM(C31:N33)/SUM(C57:N59)</f>
        <v>0.3971257049</v>
      </c>
      <c r="C9" s="21">
        <f t="shared" ref="C9:F9" si="16">(C$31+C$32+C$33)/(C$57+C$58+C$59)</f>
        <v>0.4404223228</v>
      </c>
      <c r="D9" s="21">
        <f t="shared" si="16"/>
        <v>0.4394160584</v>
      </c>
      <c r="E9" s="21">
        <f t="shared" si="16"/>
        <v>0.4304347826</v>
      </c>
      <c r="F9" s="21">
        <f t="shared" si="16"/>
        <v>0.4304347826</v>
      </c>
      <c r="G9" s="21">
        <f t="shared" ref="G9:N9" si="17">IF((G$57+G$58+G$59)=0,"-",(G$31+G$32+G$33)/(G$57+G$58+G$59))</f>
        <v>0.3842857143</v>
      </c>
      <c r="H9" s="21">
        <f t="shared" si="17"/>
        <v>0.3569364162</v>
      </c>
      <c r="I9" s="21">
        <f t="shared" si="17"/>
        <v>0.3493449782</v>
      </c>
      <c r="J9" s="21">
        <f t="shared" si="17"/>
        <v>0.347826087</v>
      </c>
      <c r="K9" s="21" t="str">
        <f t="shared" si="17"/>
        <v>-</v>
      </c>
      <c r="L9" s="21" t="str">
        <f t="shared" si="17"/>
        <v>-</v>
      </c>
      <c r="M9" s="21" t="str">
        <f t="shared" si="17"/>
        <v>-</v>
      </c>
      <c r="N9" s="21" t="str">
        <f t="shared" si="17"/>
        <v>-</v>
      </c>
      <c r="O9" s="21">
        <f t="shared" ref="O9:R9" si="18">IF((O$57+O$58+O$59)=0,"0",(O$31+O$32+O$33)/(O$57+O$58+O$59))</f>
        <v>0.4367026497</v>
      </c>
      <c r="P9" s="21">
        <f t="shared" si="18"/>
        <v>0.3904899135</v>
      </c>
      <c r="Q9" s="21">
        <f t="shared" si="18"/>
        <v>0.348583878</v>
      </c>
      <c r="R9" s="21" t="str">
        <f t="shared" si="18"/>
        <v>0</v>
      </c>
      <c r="S9" s="8"/>
      <c r="T9" s="8"/>
      <c r="U9" s="8"/>
      <c r="V9" s="8"/>
      <c r="W9" s="8"/>
      <c r="X9" s="8"/>
    </row>
    <row r="10">
      <c r="A10" s="22" t="s">
        <v>141</v>
      </c>
      <c r="B10" s="20">
        <f>SUM(C34:N36)/SUM(C60:N62)</f>
        <v>0.2317845829</v>
      </c>
      <c r="C10" s="21">
        <f t="shared" ref="C10:F10" si="19">(C$34+C$35+C$36)/(C$60+C$61+C$62)</f>
        <v>0.2243975904</v>
      </c>
      <c r="D10" s="21">
        <f t="shared" si="19"/>
        <v>0.218373494</v>
      </c>
      <c r="E10" s="21">
        <f t="shared" si="19"/>
        <v>0.2192592593</v>
      </c>
      <c r="F10" s="21">
        <f t="shared" si="19"/>
        <v>0.2244897959</v>
      </c>
      <c r="G10" s="21">
        <f t="shared" ref="G10:N10" si="20">IF((G$60+G$61+G$62)=0,"-",(G$34+G$35+G$36)/(G$60+G$61+G$62))</f>
        <v>0.2315340909</v>
      </c>
      <c r="H10" s="21">
        <f t="shared" si="20"/>
        <v>0.2430939227</v>
      </c>
      <c r="I10" s="21">
        <f t="shared" si="20"/>
        <v>0.2434895833</v>
      </c>
      <c r="J10" s="21">
        <f t="shared" si="20"/>
        <v>0.2446675031</v>
      </c>
      <c r="K10" s="21" t="str">
        <f t="shared" si="20"/>
        <v>-</v>
      </c>
      <c r="L10" s="21" t="str">
        <f t="shared" si="20"/>
        <v>-</v>
      </c>
      <c r="M10" s="21" t="str">
        <f t="shared" si="20"/>
        <v>-</v>
      </c>
      <c r="N10" s="21" t="str">
        <f t="shared" si="20"/>
        <v>-</v>
      </c>
      <c r="O10" s="21">
        <f t="shared" ref="O10:R10" si="21">IF((O$60+O$61+O$62)=0,"0",(O$34+O$35+O$36)/(O$60+O$61+O$62))</f>
        <v>0.2206689965</v>
      </c>
      <c r="P10" s="21">
        <f t="shared" si="21"/>
        <v>0.2332071902</v>
      </c>
      <c r="Q10" s="21">
        <f t="shared" si="21"/>
        <v>0.2440894569</v>
      </c>
      <c r="R10" s="21" t="str">
        <f t="shared" si="21"/>
        <v>0</v>
      </c>
      <c r="S10" s="8"/>
      <c r="T10" s="8"/>
      <c r="U10" s="8"/>
      <c r="V10" s="8"/>
      <c r="W10" s="8"/>
      <c r="X10" s="8"/>
    </row>
    <row r="11">
      <c r="A11" s="22" t="s">
        <v>144</v>
      </c>
      <c r="B11" s="20">
        <f t="shared" ref="B11:B13" si="25">SUM(C37:N37)/SUM(C63:N63)</f>
        <v>0.2274368231</v>
      </c>
      <c r="C11" s="21">
        <f t="shared" ref="C11:F11" si="22">(C$37)/(C$63)</f>
        <v>0.1656976744</v>
      </c>
      <c r="D11" s="21">
        <f t="shared" si="22"/>
        <v>0.1818181818</v>
      </c>
      <c r="E11" s="21">
        <f t="shared" si="22"/>
        <v>0.2128279883</v>
      </c>
      <c r="F11" s="21">
        <f t="shared" si="22"/>
        <v>0.2228739003</v>
      </c>
      <c r="G11" s="21">
        <f t="shared" ref="G11:N11" si="23">IF((G$63)=0,"-",(G$37)/(G$63))</f>
        <v>0.2422535211</v>
      </c>
      <c r="H11" s="21">
        <f t="shared" si="23"/>
        <v>0.2323529412</v>
      </c>
      <c r="I11" s="21">
        <f t="shared" si="23"/>
        <v>0.2662889518</v>
      </c>
      <c r="J11" s="21">
        <f t="shared" si="23"/>
        <v>0.2917847025</v>
      </c>
      <c r="K11" s="21" t="str">
        <f t="shared" si="23"/>
        <v>-</v>
      </c>
      <c r="L11" s="21" t="str">
        <f t="shared" si="23"/>
        <v>-</v>
      </c>
      <c r="M11" s="21" t="str">
        <f t="shared" si="23"/>
        <v>-</v>
      </c>
      <c r="N11" s="21" t="str">
        <f t="shared" si="23"/>
        <v>-</v>
      </c>
      <c r="O11" s="21">
        <f t="shared" ref="O11:R11" si="24">IF((O$63)=0,"0",(O$37)/(O$63))</f>
        <v>0.186770428</v>
      </c>
      <c r="P11" s="21">
        <f t="shared" si="24"/>
        <v>0.2326254826</v>
      </c>
      <c r="Q11" s="21">
        <f t="shared" si="24"/>
        <v>0.2790368272</v>
      </c>
      <c r="R11" s="21" t="str">
        <f t="shared" si="24"/>
        <v>0</v>
      </c>
      <c r="S11" s="8"/>
      <c r="T11" s="8"/>
      <c r="U11" s="8"/>
      <c r="V11" s="8"/>
      <c r="W11" s="8"/>
      <c r="X11" s="8"/>
    </row>
    <row r="12">
      <c r="A12" s="23" t="s">
        <v>145</v>
      </c>
      <c r="B12" s="20">
        <f t="shared" si="25"/>
        <v>0.3127035831</v>
      </c>
      <c r="C12" s="21">
        <f t="shared" ref="C12:F12" si="26">(C$38)/(C$64)</f>
        <v>0.2908163265</v>
      </c>
      <c r="D12" s="21">
        <f t="shared" si="26"/>
        <v>0.2959183673</v>
      </c>
      <c r="E12" s="21">
        <f t="shared" si="26"/>
        <v>0.3096446701</v>
      </c>
      <c r="F12" s="21">
        <f t="shared" si="26"/>
        <v>0.2908163265</v>
      </c>
      <c r="G12" s="21">
        <f t="shared" ref="G12:N12" si="27">IF((G$64)=0,"-",(G$38)/(G$64))</f>
        <v>0.3089005236</v>
      </c>
      <c r="H12" s="21">
        <f t="shared" si="27"/>
        <v>0.328042328</v>
      </c>
      <c r="I12" s="21">
        <f t="shared" si="27"/>
        <v>0.335106383</v>
      </c>
      <c r="J12" s="21">
        <f t="shared" si="27"/>
        <v>0.3461538462</v>
      </c>
      <c r="K12" s="21" t="str">
        <f t="shared" si="27"/>
        <v>-</v>
      </c>
      <c r="L12" s="21" t="str">
        <f t="shared" si="27"/>
        <v>-</v>
      </c>
      <c r="M12" s="21" t="str">
        <f t="shared" si="27"/>
        <v>-</v>
      </c>
      <c r="N12" s="21" t="str">
        <f t="shared" si="27"/>
        <v>-</v>
      </c>
      <c r="O12" s="21">
        <f t="shared" ref="O12:R12" si="28">IF((O$64)=0,"0",(O$38)/(O$64))</f>
        <v>0.298811545</v>
      </c>
      <c r="P12" s="21">
        <f t="shared" si="28"/>
        <v>0.3090277778</v>
      </c>
      <c r="Q12" s="21">
        <f t="shared" si="28"/>
        <v>0.3405405405</v>
      </c>
      <c r="R12" s="21" t="str">
        <f t="shared" si="28"/>
        <v>0</v>
      </c>
      <c r="S12" s="8"/>
      <c r="T12" s="8"/>
      <c r="U12" s="8"/>
      <c r="V12" s="8"/>
      <c r="W12" s="8"/>
      <c r="X12" s="8"/>
    </row>
    <row r="13">
      <c r="A13" s="25" t="s">
        <v>146</v>
      </c>
      <c r="B13" s="20">
        <f t="shared" si="25"/>
        <v>0.263884147</v>
      </c>
      <c r="C13" s="21">
        <f t="shared" ref="C13:F13" si="29">(C$39)/(C$65)</f>
        <v>0.268963867</v>
      </c>
      <c r="D13" s="21">
        <f t="shared" si="29"/>
        <v>0.268367588</v>
      </c>
      <c r="E13" s="21">
        <f t="shared" si="29"/>
        <v>0.2688668359</v>
      </c>
      <c r="F13" s="21">
        <f t="shared" si="29"/>
        <v>0.2672927164</v>
      </c>
      <c r="G13" s="21">
        <f t="shared" ref="G13:N13" si="30">IF((G$65)=0,"-",(G$39)/(G$65))</f>
        <v>0.2576028623</v>
      </c>
      <c r="H13" s="21">
        <f t="shared" si="30"/>
        <v>0.2570659489</v>
      </c>
      <c r="I13" s="21">
        <f t="shared" si="30"/>
        <v>0.26085031</v>
      </c>
      <c r="J13" s="21">
        <f t="shared" si="30"/>
        <v>0.262905685</v>
      </c>
      <c r="K13" s="21" t="str">
        <f t="shared" si="30"/>
        <v>-</v>
      </c>
      <c r="L13" s="21" t="str">
        <f t="shared" si="30"/>
        <v>-</v>
      </c>
      <c r="M13" s="21" t="str">
        <f t="shared" si="30"/>
        <v>-</v>
      </c>
      <c r="N13" s="21" t="str">
        <f t="shared" si="30"/>
        <v>-</v>
      </c>
      <c r="O13" s="21">
        <f t="shared" ref="O13:R13" si="31">IF((O$65)=0,"0",(O$39)/(O$65))</f>
        <v>0.2687328364</v>
      </c>
      <c r="P13" s="21">
        <f t="shared" si="31"/>
        <v>0.2606046931</v>
      </c>
      <c r="Q13" s="21">
        <f t="shared" si="31"/>
        <v>0.261886461</v>
      </c>
      <c r="R13" s="21" t="str">
        <f t="shared" si="31"/>
        <v>0</v>
      </c>
      <c r="S13" s="8"/>
      <c r="T13" s="8"/>
      <c r="U13" s="8"/>
      <c r="V13" s="8"/>
      <c r="W13" s="8"/>
      <c r="X13" s="8"/>
    </row>
    <row r="14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3" t="s">
        <v>147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1"/>
      <c r="B16" s="12"/>
      <c r="C16" s="13" t="s">
        <v>148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5" t="s">
        <v>30</v>
      </c>
      <c r="B17" s="26"/>
      <c r="C17" s="17" t="s">
        <v>35</v>
      </c>
      <c r="D17" s="17" t="s">
        <v>38</v>
      </c>
      <c r="E17" s="17" t="s">
        <v>39</v>
      </c>
      <c r="F17" s="17" t="s">
        <v>41</v>
      </c>
      <c r="G17" s="17" t="s">
        <v>42</v>
      </c>
      <c r="H17" s="17" t="s">
        <v>43</v>
      </c>
      <c r="I17" s="17" t="s">
        <v>45</v>
      </c>
      <c r="J17" s="17" t="s">
        <v>46</v>
      </c>
      <c r="K17" s="17" t="s">
        <v>47</v>
      </c>
      <c r="L17" s="17" t="s">
        <v>49</v>
      </c>
      <c r="M17" s="17" t="s">
        <v>50</v>
      </c>
      <c r="N17" s="17" t="s">
        <v>51</v>
      </c>
      <c r="O17" s="27" t="s">
        <v>53</v>
      </c>
      <c r="P17" s="18" t="s">
        <v>55</v>
      </c>
      <c r="Q17" s="18" t="s">
        <v>56</v>
      </c>
      <c r="R17" s="18" t="s">
        <v>57</v>
      </c>
      <c r="S17" s="8"/>
      <c r="T17" s="8"/>
      <c r="U17" s="8"/>
      <c r="V17" s="8"/>
      <c r="W17" s="8"/>
      <c r="X17" s="8"/>
    </row>
    <row r="18">
      <c r="A18" s="28" t="s">
        <v>149</v>
      </c>
      <c r="B18" s="29" t="s">
        <v>150</v>
      </c>
      <c r="C18" s="30">
        <f>SUMIF(jan!$A$1:$A$100,"ADOLFO CAMINHA",jan!$D$1:$D$100)+SUMIF(jan!$A$1:$A$100,"ITORORO",jan!$D$1:$D$100)</f>
        <v>14</v>
      </c>
      <c r="D18" s="30">
        <f>SUMIF(fev!$A$1:$A$100,"ADOLFO CAMINHA",fev!$D$1:$D$100)+SUMIF(fev!$A$1:$A$100,"ITORORO",fev!$D$1:$D$100)</f>
        <v>16</v>
      </c>
      <c r="E18" s="30">
        <f>SUMIF(mar!$A$1:$A$100,"ADOLFO CAMINHA",mar!$D$1:$D$100)+SUMIF(mar!$A$1:$A$100,"ITORORO",mar!$D$1:$D$100)</f>
        <v>20</v>
      </c>
      <c r="F18" s="30">
        <f>SUMIF(abr!$A$1:$A$100,"ADOLFO CAMINHA",abr!$D$1:$D$100)+SUMIF(abr!$A$1:$A$100,"ITORORO",abr!$D$1:$D$100)</f>
        <v>22</v>
      </c>
      <c r="G18" s="30">
        <f>SUMIF(mai!$A$1:$A$100,"ADOLFO CAMINHA",mai!$D$1:$D$100)+SUMIF(mai!$A$1:$A$100,"ITORORO",mai!$D$1:$D$100)</f>
        <v>32</v>
      </c>
      <c r="H18" s="30">
        <f>SUMIF(jun!$A$1:$A$100,"ADOLFO CAMINHA",jun!$D$1:$D$100)+SUMIF(jun!$A$1:$A$100,"ITORORO",jun!$D$1:$D$100)</f>
        <v>31</v>
      </c>
      <c r="I18" s="30">
        <f>SUMIF(jul!$A$1:$A$100,"ADOLFO CAMINHA",jul!$D$1:$D$100)+SUMIF(jul!$A$1:$A$100,"ITORORO",jul!$D$1:$D$100)</f>
        <v>44</v>
      </c>
      <c r="J18" s="30">
        <f>SUMIF(ago!$A$1:$A$100,"ADOLFO CAMINHA",ago!$D$1:$D$100)+SUMIF(ago!$A$1:$A$100,"ITORORO",ago!$D$1:$D$100)</f>
        <v>49</v>
      </c>
      <c r="K18" s="30">
        <f>SUMIF(set!$A$1:$A$100,"ADOLFO CAMINHA",set!$D$1:$D$100)+SUMIF(set!$A$1:$A$100,"ITORORO",set!$D$1:$D$100)</f>
        <v>0</v>
      </c>
      <c r="L18" s="30">
        <f>SUMIF(out!$A$1:$A$100,"ADOLFO CAMINHA",out!$D$1:$D$100)+SUMIF(out!$A$1:$A$100,"ITORORO",out!$D$1:$D$100)</f>
        <v>0</v>
      </c>
      <c r="M18" s="30">
        <f>SUMIF(nov!$A$1:$A$100,"ADOLFO CAMINHA",nov!$D$1:$D$100)+SUMIF(nov!$A$1:$A$100,"ITORORO",nov!$D$1:$D$100)</f>
        <v>0</v>
      </c>
      <c r="N18" s="30">
        <f>SUMIF(dez!$A$1:$A$100,"ADOLFO CAMINHA",dez!$D$1:$D$100)+SUMIF(dez!$A$1:$A$100,"ITORORO",dez!$D$1:$D$100)</f>
        <v>0</v>
      </c>
      <c r="O18" s="30">
        <f t="shared" ref="O18:O39" si="32">C18+D18+E18</f>
        <v>50</v>
      </c>
      <c r="P18" s="30">
        <f t="shared" ref="P18:P39" si="33">F18+G18+H18</f>
        <v>85</v>
      </c>
      <c r="Q18" s="30">
        <f t="shared" ref="Q18:Q39" si="34">I18+J18+K18</f>
        <v>93</v>
      </c>
      <c r="R18" s="30">
        <f t="shared" ref="R18:R39" si="35">L18+M18+N18</f>
        <v>0</v>
      </c>
      <c r="S18" s="8"/>
      <c r="T18" s="8"/>
      <c r="U18" s="8"/>
      <c r="V18" s="8"/>
      <c r="W18" s="8"/>
      <c r="X18" s="8"/>
    </row>
    <row r="19">
      <c r="A19" s="31"/>
      <c r="B19" s="29" t="s">
        <v>151</v>
      </c>
      <c r="C19" s="30">
        <f>SUMIF(jan!$A$1:$A$100,"SANTO ESTEVAO",jan!$D$1:$D$100)+SUMIF(jan!$A$1:$A$100,"GASTAO PENALVA I",jan!$D$1:$D$100)++SUMIF(jan!$A$1:$A$100,"GASTAO PENALVA II",jan!$D$1:$D$100)</f>
        <v>68</v>
      </c>
      <c r="D19" s="30">
        <f>SUMIF(fev!$A$1:$A$100,"SANTO ESTEVAO",fev!$D$1:$D$100)+SUMIF(fev!$A$1:$A$100,"GASTAO PENALVA I",fev!$D$1:$D$100)++SUMIF(fev!$A$1:$A$100,"GASTAO PENALVA II",fev!$D$1:$D$100)</f>
        <v>69</v>
      </c>
      <c r="E19" s="30">
        <f>SUMIF(mar!$A$1:$A$100,"SANTO ESTEVAO",mar!$D$1:$D$100)+SUMIF(mar!$A$1:$A$100,"GASTAO PENALVA I",mar!$D$1:$D$100)++SUMIF(mar!$A$1:$A$100,"GASTAO PENALVA II",mar!$D$1:$D$100)</f>
        <v>79</v>
      </c>
      <c r="F19" s="30">
        <f>SUMIF(abr!$A$1:$A$100,"SANTO ESTEVAO",abr!$D$1:$D$100)+SUMIF(abr!$A$1:$A$100,"GASTAO PENALVA I",abr!$D$1:$D$100)++SUMIF(abr!$A$1:$A$100,"GASTAO PENALVA II",abr!$D$1:$D$100)</f>
        <v>78</v>
      </c>
      <c r="G19" s="30">
        <f>SUMIF(mai!$A$1:$A$100,"SANTO ESTEVAO",mai!$D$1:$D$100)+SUMIF(mai!$A$1:$A$100,"GASTAO PENALVA I",mai!$D$1:$D$100)++SUMIF(mai!$A$1:$A$100,"GASTAO PENALVA II",mai!$D$1:$D$100)</f>
        <v>59</v>
      </c>
      <c r="H19" s="30">
        <f>SUMIF(jun!$A$1:$A$100,"SANTO ESTEVAO",jun!$D$1:$D$100)+SUMIF(jun!$A$1:$A$100,"GASTAO PENALVA I",jun!$D$1:$D$100)++SUMIF(jun!$A$1:$A$100,"GASTAO PENALVA II",jun!$D$1:$D$100)</f>
        <v>49</v>
      </c>
      <c r="I19" s="30">
        <f>SUMIF(jul!$A$1:$A$100,"SANTO ESTEVAO",jul!$D$1:$D$100)+SUMIF(jul!$A$1:$A$100,"GASTAO PENALVA I",jul!$D$1:$D$100)++SUMIF(jul!$A$1:$A$100,"GASTAO PENALVA II",jul!$D$1:$D$100)</f>
        <v>51</v>
      </c>
      <c r="J19" s="30">
        <f>SUMIF(ago!$A$1:$A$100,"SANTO ESTEVAO",ago!$D$1:$D$100)+SUMIF(ago!$A$1:$A$100,"GASTAO PENALVA I",ago!$D$1:$D$100)++SUMIF(ago!$A$1:$A$100,"GASTAO PENALVA II",ago!$D$1:$D$100)</f>
        <v>42</v>
      </c>
      <c r="K19" s="30">
        <f>SUMIF(set!$A$1:$A$100,"SANTO ESTEVAO",set!$D$1:$D$100)+SUMIF(set!$A$1:$A$100,"GASTAO PENALVA I",set!$D$1:$D$100)++SUMIF(set!$A$1:$A$100,"GASTAO PENALVA II",set!$D$1:$D$100)</f>
        <v>0</v>
      </c>
      <c r="L19" s="30">
        <f>SUMIF(out!$A$1:$A$100,"SANTO ESTEVAO",out!$D$1:$D$100)+SUMIF(out!$A$1:$A$100,"GASTAO PENALVA I",out!$D$1:$D$100)++SUMIF(out!$A$1:$A$100,"GASTAO PENALVA II",out!$D$1:$D$100)</f>
        <v>0</v>
      </c>
      <c r="M19" s="30">
        <f>SUMIF(nov!$A$1:$A$100,"SANTO ESTEVAO",nov!$D$1:$D$100)+SUMIF(nov!$A$1:$A$100,"GASTAO PENALVA I",nov!$D$1:$D$100)++SUMIF(nov!$A$1:$A$100,"GASTAO PENALVA II",nov!$D$1:$D$100)</f>
        <v>0</v>
      </c>
      <c r="N19" s="30">
        <f>SUMIF(dez!$A$1:$A$100,"SANTO ESTEVAO",dez!$D$1:$D$100)+SUMIF(dez!$A$1:$A$100,"GASTAO PENALVA I",dez!$D$1:$D$100)++SUMIF(dez!$A$1:$A$100,"GASTAO PENALVA II",dez!$D$1:$D$100)</f>
        <v>0</v>
      </c>
      <c r="O19" s="30">
        <f t="shared" si="32"/>
        <v>216</v>
      </c>
      <c r="P19" s="30">
        <f t="shared" si="33"/>
        <v>186</v>
      </c>
      <c r="Q19" s="30">
        <f t="shared" si="34"/>
        <v>93</v>
      </c>
      <c r="R19" s="30">
        <f t="shared" si="35"/>
        <v>0</v>
      </c>
      <c r="S19" s="8"/>
      <c r="T19" s="8"/>
      <c r="U19" s="8"/>
      <c r="V19" s="8"/>
      <c r="W19" s="8"/>
      <c r="X19" s="8"/>
    </row>
    <row r="20">
      <c r="A20" s="31"/>
      <c r="B20" s="29" t="s">
        <v>153</v>
      </c>
      <c r="C20" s="30">
        <f>SUMIF(jan!$A$1:$A$100,"ARAXA",jan!$D$1:$D$100)+SUMIF(jan!$A$1:$A$100,"UBERABA",jan!$D$1:$D$100)</f>
        <v>39</v>
      </c>
      <c r="D20" s="30">
        <f>SUMIF(fev!$A$1:$A$100,"ARAXA",fev!$D$1:$D$100)+SUMIF(fev!$A$1:$A$100,"UBERABA",fev!$D$1:$D$100)</f>
        <v>41</v>
      </c>
      <c r="E20" s="30">
        <f>SUMIF(mar!$A$1:$A$100,"ARAXA",mar!$D$1:$D$100)+SUMIF(mar!$A$1:$A$100,"UBERABA",mar!$D$1:$D$100)</f>
        <v>35</v>
      </c>
      <c r="F20" s="30">
        <f>SUMIF(abr!$A$1:$A$100,"ARAXA",abr!$D$1:$D$100)+SUMIF(abr!$A$1:$A$100,"UBERABA",abr!$D$1:$D$100)</f>
        <v>33</v>
      </c>
      <c r="G20" s="30">
        <f>SUMIF(mai!$A$1:$A$100,"ARAXA",mai!$D$1:$D$100)+SUMIF(mai!$A$1:$A$100,"UBERABA",mai!$D$1:$D$100)</f>
        <v>37</v>
      </c>
      <c r="H20" s="30">
        <f>SUMIF(jun!$A$1:$A$100,"ARAXA",jun!$D$1:$D$100)+SUMIF(jun!$A$1:$A$100,"UBERABA",jun!$D$1:$D$100)</f>
        <v>38</v>
      </c>
      <c r="I20" s="30">
        <f>SUMIF(jul!$A$1:$A$100,"ARAXA",jul!$D$1:$D$100)+SUMIF(jul!$A$1:$A$100,"UBERABA",jul!$D$1:$D$100)</f>
        <v>36</v>
      </c>
      <c r="J20" s="30">
        <f>SUMIF(ago!$A$1:$A$100,"ARAXA",ago!$D$1:$D$100)+SUMIF(ago!$A$1:$A$100,"UBERABA",ago!$D$1:$D$100)</f>
        <v>35</v>
      </c>
      <c r="K20" s="30">
        <f>SUMIF(set!$A$1:$A$100,"ARAXA",set!$D$1:$D$100)+SUMIF(set!$A$1:$A$100,"UBERABA",set!$D$1:$D$100)</f>
        <v>0</v>
      </c>
      <c r="L20" s="30">
        <f>SUMIF(out!$A$1:$A$100,"ARAXA",out!$D$1:$D$100)+SUMIF(out!$A$1:$A$100,"UBERABA",out!$D$1:$D$100)</f>
        <v>0</v>
      </c>
      <c r="M20" s="30">
        <f>SUMIF(nov!$A$1:$A$100,"ARAXA",nov!$D$1:$D$100)+SUMIF(nov!$A$1:$A$100,"UBERABA",nov!$D$1:$D$100)</f>
        <v>0</v>
      </c>
      <c r="N20" s="30">
        <f>SUMIF(dez!$A$1:$A$100,"ARAXA",dez!$D$1:$D$100)+SUMIF(dez!$A$1:$A$100,"UBERABA",dez!$D$1:$D$100)</f>
        <v>0</v>
      </c>
      <c r="O20" s="30">
        <f t="shared" si="32"/>
        <v>115</v>
      </c>
      <c r="P20" s="30">
        <f t="shared" si="33"/>
        <v>108</v>
      </c>
      <c r="Q20" s="30">
        <f t="shared" si="34"/>
        <v>71</v>
      </c>
      <c r="R20" s="30">
        <f t="shared" si="35"/>
        <v>0</v>
      </c>
      <c r="S20" s="8"/>
      <c r="T20" s="8"/>
      <c r="U20" s="8"/>
      <c r="V20" s="8"/>
      <c r="W20" s="8"/>
      <c r="X20" s="8"/>
    </row>
    <row r="21">
      <c r="A21" s="32"/>
      <c r="B21" s="29" t="s">
        <v>155</v>
      </c>
      <c r="C21" s="30">
        <f>SUMIF(jan!$A$1:$A$100,"FURNAS",jan!$D$1:$D$100)+SUMIF(jan!$A$1:$A$100,"ESPERANCA",jan!$D$1:$D$100)</f>
        <v>29</v>
      </c>
      <c r="D21" s="30">
        <f>SUMIF(fev!$A$1:$A$100,"FURNAS",fev!$D$1:$D$100)+SUMIF(fev!$A$1:$A$100,"ESPERANCA",fev!$D$1:$D$100)</f>
        <v>29</v>
      </c>
      <c r="E21" s="30">
        <f>SUMIF(mar!$A$1:$A$100,"FURNAS",mar!$D$1:$D$100)+SUMIF(mar!$A$1:$A$100,"ESPERANCA",mar!$D$1:$D$100)</f>
        <v>28</v>
      </c>
      <c r="F21" s="30">
        <f>SUMIF(abr!$A$1:$A$100,"FURNAS",abr!$D$1:$D$100)+SUMIF(abr!$A$1:$A$100,"ESPERANCA",abr!$D$1:$D$100)</f>
        <v>28</v>
      </c>
      <c r="G21" s="30">
        <f>SUMIF(mai!$A$1:$A$100,"FURNAS",mai!$D$1:$D$100)+SUMIF(mai!$A$1:$A$100,"ESPERANCA",mai!$D$1:$D$100)</f>
        <v>27</v>
      </c>
      <c r="H21" s="30">
        <f>SUMIF(jun!$A$1:$A$100,"FURNAS",jun!$D$1:$D$100)+SUMIF(jun!$A$1:$A$100,"ESPERANCA",jun!$D$1:$D$100)</f>
        <v>24</v>
      </c>
      <c r="I21" s="30">
        <f>SUMIF(jul!$A$1:$A$100,"FURNAS",jul!$D$1:$D$100)+SUMIF(jul!$A$1:$A$100,"ESPERANCA",jul!$D$1:$D$100)</f>
        <v>24</v>
      </c>
      <c r="J21" s="30">
        <f>SUMIF(ago!$A$1:$A$100,"FURNAS",ago!$D$1:$D$100)+SUMIF(ago!$A$1:$A$100,"ESPERANCA",ago!$D$1:$D$100)</f>
        <v>26</v>
      </c>
      <c r="K21" s="30">
        <f>SUMIF(set!$A$1:$A$100,"FURNAS",set!$D$1:$D$100)+SUMIF(set!$A$1:$A$100,"ESPERANCA",set!$D$1:$D$100)</f>
        <v>0</v>
      </c>
      <c r="L21" s="30">
        <f>SUMIF(out!$A$1:$A$100,"FURNAS",out!$D$1:$D$100)+SUMIF(out!$A$1:$A$100,"ESPERANCA",out!$D$1:$D$100)</f>
        <v>0</v>
      </c>
      <c r="M21" s="30">
        <f>SUMIF(nov!$A$1:$A$100,"FURNAS",nov!$D$1:$D$100)+SUMIF(nov!$A$1:$A$100,"ESPERANCA",nov!$D$1:$D$100)</f>
        <v>0</v>
      </c>
      <c r="N21" s="30">
        <f>SUMIF(dez!$A$1:$A$100,"FURNAS",dez!$D$1:$D$100)+SUMIF(dez!$A$1:$A$100,"ESPERANCA",dez!$D$1:$D$100)</f>
        <v>0</v>
      </c>
      <c r="O21" s="30">
        <f t="shared" si="32"/>
        <v>86</v>
      </c>
      <c r="P21" s="30">
        <f t="shared" si="33"/>
        <v>79</v>
      </c>
      <c r="Q21" s="30">
        <f t="shared" si="34"/>
        <v>50</v>
      </c>
      <c r="R21" s="30">
        <f t="shared" si="35"/>
        <v>0</v>
      </c>
      <c r="S21" s="8"/>
      <c r="T21" s="8"/>
      <c r="U21" s="8"/>
      <c r="V21" s="8"/>
      <c r="W21" s="8"/>
      <c r="X21" s="8"/>
    </row>
    <row r="22">
      <c r="A22" s="33" t="s">
        <v>157</v>
      </c>
      <c r="B22" s="29" t="s">
        <v>158</v>
      </c>
      <c r="C22" s="30">
        <f>SUMIF(jan!$A$1:$A$100,"POPULAR",jan!$D$1:$D$100)+SUMIF(jan!$A$1:$A$100,"CARUARU",jan!$D$1:$D$100)</f>
        <v>44</v>
      </c>
      <c r="D22" s="30">
        <f>SUMIF(fev!$A$1:$A$100,"POPULAR",fev!$D$1:$D$100)+SUMIF(fev!$A$1:$A$100,"CARUARU",fev!$D$1:$D$100)</f>
        <v>46</v>
      </c>
      <c r="E22" s="30">
        <f>SUMIF(mar!$A$1:$A$100,"POPULAR",mar!$D$1:$D$100)+SUMIF(mar!$A$1:$A$100,"CARUARU",mar!$D$1:$D$100)</f>
        <v>54</v>
      </c>
      <c r="F22" s="30">
        <f>SUMIF(abr!$A$1:$A$100,"POPULAR",abr!$D$1:$D$100)+SUMIF(abr!$A$1:$A$100,"CARUARU",abr!$D$1:$D$100)</f>
        <v>55</v>
      </c>
      <c r="G22" s="30">
        <f>SUMIF(mai!$A$1:$A$100,"POPULAR",mai!$D$1:$D$100)+SUMIF(mai!$A$1:$A$100,"CARUARU",mai!$D$1:$D$100)</f>
        <v>62</v>
      </c>
      <c r="H22" s="30">
        <f>SUMIF(jun!$A$1:$A$100,"POPULAR",jun!$D$1:$D$100)+SUMIF(jun!$A$1:$A$100,"CARUARU",jun!$D$1:$D$100)</f>
        <v>67</v>
      </c>
      <c r="I22" s="30">
        <f>SUMIF(jul!$A$1:$A$100,"POPULAR",jul!$D$1:$D$100)+SUMIF(jul!$A$1:$A$100,"CARUARU",jul!$D$1:$D$100)</f>
        <v>64</v>
      </c>
      <c r="J22" s="30">
        <f>SUMIF(ago!$A$1:$A$100,"POPULAR",ago!$D$1:$D$100)+SUMIF(ago!$A$1:$A$100,"CARUARU",ago!$D$1:$D$100)</f>
        <v>69</v>
      </c>
      <c r="K22" s="30">
        <f>SUMIF(set!$A$1:$A$100,"POPULAR",set!$D$1:$D$100)+SUMIF(set!$A$1:$A$100,"CARUARU",set!$D$1:$D$100)</f>
        <v>0</v>
      </c>
      <c r="L22" s="30">
        <f>SUMIF(out!$A$1:$A$100,"POPULAR",out!$D$1:$D$100)+SUMIF(out!$A$1:$A$100,"CARUARU",out!$D$1:$D$100)</f>
        <v>0</v>
      </c>
      <c r="M22" s="30">
        <f>SUMIF(nov!$A$1:$A$100,"POPULAR",nov!$D$1:$D$100)+SUMIF(nov!$A$1:$A$100,"CARUARU",nov!$D$1:$D$100)</f>
        <v>0</v>
      </c>
      <c r="N22" s="30">
        <f>SUMIF(dez!$A$1:$A$100,"POPULAR",dez!$D$1:$D$100)+SUMIF(dez!$A$1:$A$100,"CARUARU",dez!$D$1:$D$100)</f>
        <v>0</v>
      </c>
      <c r="O22" s="30">
        <f t="shared" si="32"/>
        <v>144</v>
      </c>
      <c r="P22" s="30">
        <f t="shared" si="33"/>
        <v>184</v>
      </c>
      <c r="Q22" s="30">
        <f t="shared" si="34"/>
        <v>133</v>
      </c>
      <c r="R22" s="30">
        <f t="shared" si="35"/>
        <v>0</v>
      </c>
      <c r="S22" s="8"/>
      <c r="T22" s="8"/>
      <c r="U22" s="8"/>
      <c r="V22" s="8"/>
      <c r="W22" s="8"/>
      <c r="X22" s="8"/>
    </row>
    <row r="23">
      <c r="A23" s="32"/>
      <c r="B23" s="29" t="s">
        <v>166</v>
      </c>
      <c r="C23" s="30">
        <f>SUMIF(jan!$A$1:$A$100,"MARTINHO DA VILA",jan!$D$1:$D$100)+SUMIF(jan!$A$1:$A$100,"NOEL ROSA",jan!$D$1:$D$100)</f>
        <v>46</v>
      </c>
      <c r="D23" s="30">
        <f>SUMIF(fev!$A$1:$A$100,"MARTINHO DA VILA",fev!$D$1:$D$100)+SUMIF(fev!$A$1:$A$100,"NOEL ROSA",fev!$D$1:$D$100)</f>
        <v>47</v>
      </c>
      <c r="E23" s="30">
        <f>SUMIF(mar!$A$1:$A$100,"MARTINHO DA VILA",mar!$D$1:$D$100)+SUMIF(mar!$A$1:$A$100,"NOEL ROSA",mar!$D$1:$D$100)</f>
        <v>40</v>
      </c>
      <c r="F23" s="30">
        <f>SUMIF(abr!$A$1:$A$100,"MARTINHO DA VILA",abr!$D$1:$D$100)+SUMIF(abr!$A$1:$A$100,"NOEL ROSA",abr!$D$1:$D$100)</f>
        <v>43</v>
      </c>
      <c r="G23" s="30">
        <f>SUMIF(mai!$A$1:$A$100,"MARTINHO DA VILA",mai!$D$1:$D$100)+SUMIF(mai!$A$1:$A$100,"NOEL ROSA",mai!$D$1:$D$100)</f>
        <v>44</v>
      </c>
      <c r="H23" s="30">
        <f>SUMIF(jun!$A$1:$A$100,"MARTINHO DA VILA",jun!$D$1:$D$100)+SUMIF(jun!$A$1:$A$100,"NOEL ROSA",jun!$D$1:$D$100)</f>
        <v>49</v>
      </c>
      <c r="I23" s="30">
        <f>SUMIF(jul!$A$1:$A$100,"MARTINHO DA VILA",jul!$D$1:$D$100)+SUMIF(jul!$A$1:$A$100,"NOEL ROSA",jul!$D$1:$D$100)</f>
        <v>45</v>
      </c>
      <c r="J23" s="30">
        <f>SUMIF(ago!$A$1:$A$100,"MARTINHO DA VILA",ago!$D$1:$D$100)+SUMIF(ago!$A$1:$A$100,"NOEL ROSA",ago!$D$1:$D$100)</f>
        <v>44</v>
      </c>
      <c r="K23" s="30">
        <f>SUMIF(set!$A$1:$A$100,"MARTINHO DA VILA",set!$D$1:$D$100)+SUMIF(set!$A$1:$A$100,"NOEL ROSA",set!$D$1:$D$100)</f>
        <v>0</v>
      </c>
      <c r="L23" s="30">
        <f>SUMIF(out!$A$1:$A$100,"MARTINHO DA VILA",out!$D$1:$D$100)+SUMIF(out!$A$1:$A$100,"NOEL ROSA",out!$D$1:$D$100)</f>
        <v>0</v>
      </c>
      <c r="M23" s="30">
        <f>SUMIF(nov!$A$1:$A$100,"MARTINHO DA VILA",nov!$D$1:$D$100)+SUMIF(nov!$A$1:$A$100,"NOEL ROSA",nov!$D$1:$D$100)</f>
        <v>0</v>
      </c>
      <c r="N23" s="30">
        <f>SUMIF(dez!$A$1:$A$100,"MARTINHO DA VILA",dez!$D$1:$D$100)+SUMIF(dez!$A$1:$A$100,"NOEL ROSA",dez!$D$1:$D$100)</f>
        <v>0</v>
      </c>
      <c r="O23" s="30">
        <f t="shared" si="32"/>
        <v>133</v>
      </c>
      <c r="P23" s="30">
        <f t="shared" si="33"/>
        <v>136</v>
      </c>
      <c r="Q23" s="30">
        <f t="shared" si="34"/>
        <v>89</v>
      </c>
      <c r="R23" s="30">
        <f t="shared" si="35"/>
        <v>0</v>
      </c>
      <c r="S23" s="8"/>
      <c r="T23" s="8"/>
      <c r="U23" s="8"/>
      <c r="V23" s="8"/>
      <c r="W23" s="8"/>
      <c r="X23" s="8"/>
    </row>
    <row r="24">
      <c r="A24" s="33" t="s">
        <v>167</v>
      </c>
      <c r="B24" s="29" t="s">
        <v>168</v>
      </c>
      <c r="C24" s="30">
        <f>SUMIF(jan!$A$1:$A$100,"LADEIRA DO MOREIRA",jan!$D$1:$D$100)/2+SUMIF(jan!$A$1:$A$100,"TERREIRAO",jan!$D$1:$D$100)</f>
        <v>59.5</v>
      </c>
      <c r="D24" s="30">
        <f>SUMIF(fev!$A$1:$A$100,"LADEIRA DO MOREIRA",fev!$D$1:$D$100)/2+SUMIF(fev!$A$1:$A$100,"TERREIRAO",fev!$D$1:$D$100)</f>
        <v>57.5</v>
      </c>
      <c r="E24" s="30">
        <f>SUMIF(mar!$A$1:$A$100,"LADEIRA DO MOREIRA",mar!$D$1:$D$100)/2+SUMIF(mar!$A$1:$A$100,"TERREIRAO",mar!$D$1:$D$100)</f>
        <v>60</v>
      </c>
      <c r="F24" s="30">
        <f>SUMIF(abr!$A$1:$A$100,"LADEIRA DO MOREIRA",abr!$D$1:$D$100)/2+SUMIF(abr!$A$1:$A$100,"TERREIRAO",abr!$D$1:$D$100)</f>
        <v>58</v>
      </c>
      <c r="G24" s="30">
        <f>SUMIF(mai!$A$1:$A$100,"LADEIRA DO MOREIRA",mai!$D$1:$D$100)/2+SUMIF(mai!$A$1:$A$100,"TERREIRAO",mai!$D$1:$D$100)</f>
        <v>57</v>
      </c>
      <c r="H24" s="30">
        <f>SUMIF(jun!$A$1:$A$100,"LADEIRA DO MOREIRA",jun!$D$1:$D$100)/2+SUMIF(jun!$A$1:$A$100,"TERREIRAO",jun!$D$1:$D$100)</f>
        <v>60</v>
      </c>
      <c r="I24" s="30">
        <f>SUMIF(jul!$A$1:$A$100,"LADEIRA DO MOREIRA",jul!$D$1:$D$100)/2+SUMIF(jul!$A$1:$A$100,"TERREIRAO",jul!$D$1:$D$100)</f>
        <v>58.5</v>
      </c>
      <c r="J24" s="30">
        <f>SUMIF(ago!$A$1:$A$100,"LADEIRA DO MOREIRA",ago!$D$1:$D$100)/2+SUMIF(ago!$A$1:$A$100,"TERREIRAO",ago!$D$1:$D$100)</f>
        <v>62</v>
      </c>
      <c r="K24" s="30">
        <f>SUMIF(set!$A$1:$A$100,"LADEIRA DO MOREIRA",set!$D$1:$D$100)/2+SUMIF(set!$A$1:$A$100,"TERREIRAO",set!$D$1:$D$100)</f>
        <v>0</v>
      </c>
      <c r="L24" s="30">
        <f>SUMIF(out!$A$1:$A$100,"LADEIRA DO MOREIRA",out!$D$1:$D$100)/2+SUMIF(out!$A$1:$A$100,"TERREIRAO",out!$D$1:$D$100)</f>
        <v>0</v>
      </c>
      <c r="M24" s="30">
        <f>SUMIF(nov!$A$1:$A$100,"LADEIRA DO MOREIRA",nov!$D$1:$D$100)/2+SUMIF(nov!$A$1:$A$100,"TERREIRAO",nov!$D$1:$D$100)</f>
        <v>0</v>
      </c>
      <c r="N24" s="30">
        <f>SUMIF(dez!$A$1:$A$100,"LADEIRA DO MOREIRA",dez!$D$1:$D$100)/2+SUMIF(dez!$A$1:$A$100,"TERREIRAO",dez!$D$1:$D$100)</f>
        <v>0</v>
      </c>
      <c r="O24" s="30">
        <f t="shared" si="32"/>
        <v>177</v>
      </c>
      <c r="P24" s="30">
        <f t="shared" si="33"/>
        <v>175</v>
      </c>
      <c r="Q24" s="30">
        <f t="shared" si="34"/>
        <v>120.5</v>
      </c>
      <c r="R24" s="30">
        <f t="shared" si="35"/>
        <v>0</v>
      </c>
      <c r="S24" s="8"/>
      <c r="T24" s="8"/>
      <c r="U24" s="8"/>
      <c r="V24" s="8"/>
      <c r="W24" s="8"/>
      <c r="X24" s="8"/>
    </row>
    <row r="25">
      <c r="A25" s="32"/>
      <c r="B25" s="29" t="s">
        <v>169</v>
      </c>
      <c r="C25" s="30">
        <f>SUMIF(jan!$A$1:$A$100,"LADEIRA DO MOREIRA",jan!$D$1:$D$100)/2+SUMIF(jan!$A$1:$A$100,"SEMENTE",jan!$D$1:$D$100)</f>
        <v>78.5</v>
      </c>
      <c r="D25" s="30">
        <f>SUMIF(fev!$A$1:$A$100,"LADEIRA DO MOREIRA",fev!$D$1:$D$100)/2+SUMIF(fev!$A$1:$A$100,"SEMENTE",fev!$D$1:$D$100)</f>
        <v>81.5</v>
      </c>
      <c r="E25" s="30">
        <f>SUMIF(mar!$A$1:$A$100,"LADEIRA DO MOREIRA",mar!$D$1:$D$100)/2+SUMIF(mar!$A$1:$A$100,"SEMENTE",mar!$D$1:$D$100)</f>
        <v>83</v>
      </c>
      <c r="F25" s="30">
        <f>SUMIF(abr!$A$1:$A$100,"LADEIRA DO MOREIRA",abr!$D$1:$D$100)/2+SUMIF(abr!$A$1:$A$100,"SEMENTE",abr!$D$1:$D$100)</f>
        <v>84</v>
      </c>
      <c r="G25" s="30">
        <f>SUMIF(mai!$A$1:$A$100,"LADEIRA DO MOREIRA",mai!$D$1:$D$100)/2+SUMIF(mai!$A$1:$A$100,"SEMENTE",mai!$D$1:$D$100)</f>
        <v>85</v>
      </c>
      <c r="H25" s="30">
        <f>SUMIF(jun!$A$1:$A$100,"LADEIRA DO MOREIRA",jun!$D$1:$D$100)/2+SUMIF(jun!$A$1:$A$100,"SEMENTE",jun!$D$1:$D$100)</f>
        <v>86</v>
      </c>
      <c r="I25" s="30">
        <f>SUMIF(jul!$A$1:$A$100,"LADEIRA DO MOREIRA",jul!$D$1:$D$100)/2+SUMIF(jul!$A$1:$A$100,"SEMENTE",jul!$D$1:$D$100)</f>
        <v>88.5</v>
      </c>
      <c r="J25" s="30">
        <f>SUMIF(ago!$A$1:$A$100,"LADEIRA DO MOREIRA",ago!$D$1:$D$100)/2+SUMIF(ago!$A$1:$A$100,"SEMENTE",ago!$D$1:$D$100)</f>
        <v>90</v>
      </c>
      <c r="K25" s="30">
        <f>SUMIF(set!$A$1:$A$100,"LADEIRA DO MOREIRA",set!$D$1:$D$100)/2+SUMIF(set!$A$1:$A$100,"SEMENTE",set!$D$1:$D$100)</f>
        <v>0</v>
      </c>
      <c r="L25" s="30">
        <f>SUMIF(out!$A$1:$A$100,"LADEIRA DO MOREIRA",out!$D$1:$D$100)/2+SUMIF(out!$A$1:$A$100,"SEMENTE",out!$D$1:$D$100)</f>
        <v>0</v>
      </c>
      <c r="M25" s="30">
        <f>SUMIF(nov!$A$1:$A$100,"LADEIRA DO MOREIRA",nov!$D$1:$D$100)/2+SUMIF(nov!$A$1:$A$100,"SEMENTE",nov!$D$1:$D$100)</f>
        <v>0</v>
      </c>
      <c r="N25" s="30">
        <f>SUMIF(dez!$A$1:$A$100,"LADEIRA DO MOREIRA",dez!$D$1:$D$100)/2+SUMIF(dez!$A$1:$A$100,"SEMENTE",dez!$D$1:$D$100)</f>
        <v>0</v>
      </c>
      <c r="O25" s="30">
        <f t="shared" si="32"/>
        <v>243</v>
      </c>
      <c r="P25" s="30">
        <f t="shared" si="33"/>
        <v>255</v>
      </c>
      <c r="Q25" s="30">
        <f t="shared" si="34"/>
        <v>178.5</v>
      </c>
      <c r="R25" s="30">
        <f t="shared" si="35"/>
        <v>0</v>
      </c>
      <c r="S25" s="8"/>
      <c r="T25" s="8"/>
      <c r="U25" s="8"/>
      <c r="V25" s="8"/>
      <c r="W25" s="8"/>
      <c r="X25" s="8"/>
    </row>
    <row r="26">
      <c r="A26" s="36" t="s">
        <v>170</v>
      </c>
      <c r="B26" s="29" t="s">
        <v>171</v>
      </c>
      <c r="C26" s="30">
        <f>SUMIF(jan!$A$1:$A$100,"CASA BRANCA",jan!$D$1:$D$100)+SUMIF(jan!$A$1:$A$100,"CHACARA DO CEU",jan!$D$1:$D$100)</f>
        <v>28</v>
      </c>
      <c r="D26" s="30">
        <f>SUMIF(fev!$A$1:$A$100,"CASA BRANCA",fev!$D$1:$D$100)+SUMIF(fev!$A$1:$A$100,"CHACARA DO CEU",fev!$D$1:$D$100)</f>
        <v>30</v>
      </c>
      <c r="E26" s="30">
        <f>SUMIF(mar!$A$1:$A$100,"CASA BRANCA",mar!$D$1:$D$100)+SUMIF(mar!$A$1:$A$100,"CHACARA DO CEU",mar!$D$1:$D$100)</f>
        <v>35</v>
      </c>
      <c r="F26" s="30">
        <f>SUMIF(abr!$A$1:$A$100,"CASA BRANCA",abr!$D$1:$D$100)+SUMIF(abr!$A$1:$A$100,"CHACARA DO CEU",abr!$D$1:$D$100)</f>
        <v>35</v>
      </c>
      <c r="G26" s="30">
        <f>SUMIF(mai!$A$1:$A$100,"CASA BRANCA",mai!$D$1:$D$100)+SUMIF(mai!$A$1:$A$100,"CHACARA DO CEU",mai!$D$1:$D$100)</f>
        <v>29</v>
      </c>
      <c r="H26" s="30">
        <f>SUMIF(jun!$A$1:$A$100,"CASA BRANCA",jun!$D$1:$D$100)+SUMIF(jun!$A$1:$A$100,"CHACARA DO CEU",jun!$D$1:$D$100)</f>
        <v>39</v>
      </c>
      <c r="I26" s="30">
        <f>SUMIF(jul!$A$1:$A$100,"CASA BRANCA",jul!$D$1:$D$100)+SUMIF(jul!$A$1:$A$100,"CHACARA DO CEU",jul!$D$1:$D$100)</f>
        <v>45</v>
      </c>
      <c r="J26" s="30">
        <f>SUMIF(ago!$A$1:$A$100,"CASA BRANCA",ago!$D$1:$D$100)+SUMIF(ago!$A$1:$A$100,"CHACARA DO CEU",ago!$D$1:$D$100)</f>
        <v>53</v>
      </c>
      <c r="K26" s="30">
        <f>SUMIF(set!$A$1:$A$100,"CASA BRANCA",set!$D$1:$D$100)+SUMIF(set!$A$1:$A$100,"CHACARA DO CEU",set!$D$1:$D$100)</f>
        <v>0</v>
      </c>
      <c r="L26" s="30">
        <f>SUMIF(out!$A$1:$A$100,"CASA BRANCA",out!$D$1:$D$100)+SUMIF(out!$A$1:$A$100,"CHACARA DO CEU",out!$D$1:$D$100)</f>
        <v>0</v>
      </c>
      <c r="M26" s="30">
        <f>SUMIF(nov!$A$1:$A$100,"CASA BRANCA",nov!$D$1:$D$100)+SUMIF(nov!$A$1:$A$100,"CHACARA DO CEU",nov!$D$1:$D$100)</f>
        <v>0</v>
      </c>
      <c r="N26" s="30">
        <f>SUMIF(dez!$A$1:$A$100,"CASA BRANCA",dez!$D$1:$D$100)+SUMIF(dez!$A$1:$A$100,"CHACARA DO CEU",dez!$D$1:$D$100)</f>
        <v>0</v>
      </c>
      <c r="O26" s="30">
        <f t="shared" si="32"/>
        <v>93</v>
      </c>
      <c r="P26" s="30">
        <f t="shared" si="33"/>
        <v>103</v>
      </c>
      <c r="Q26" s="30">
        <f t="shared" si="34"/>
        <v>98</v>
      </c>
      <c r="R26" s="30">
        <f t="shared" si="35"/>
        <v>0</v>
      </c>
      <c r="S26" s="8"/>
      <c r="T26" s="8"/>
      <c r="U26" s="8"/>
      <c r="V26" s="8"/>
      <c r="W26" s="8"/>
      <c r="X26" s="8"/>
    </row>
    <row r="27">
      <c r="A27" s="37" t="s">
        <v>172</v>
      </c>
      <c r="B27" s="29" t="s">
        <v>173</v>
      </c>
      <c r="C27" s="30">
        <f>SUMIF(jan!$A$1:$A$94,"SALGUEIRO",jan!$D$1:$D$100)+SUMIF(jan!$A$1:$A$94,"PRACA VARNHAGEM",jan!$D$1:$D$100)+SUMIF(jan!$A$1:$A$94,"RAIZES DO SALGUEIRO ESF",jan!$D$1:$D$100)</f>
        <v>83</v>
      </c>
      <c r="D27" s="30">
        <f>SUMIF(fev!$A$1:$A$100,"SALGUEIRO",fev!$D$1:$D$100)+SUMIF(fev!$A$1:$A$100,"PRACA VARNHAGEM",fev!$D$1:$D$100)+SUMIF(fev!$A$1:$A$100,"RAIZES DO SALGUEIRO ESF",fev!$D$1:$D$100)</f>
        <v>79</v>
      </c>
      <c r="E27" s="30">
        <f>SUMIF(mar!$A$1:$A$100,"SALGUEIRO",mar!$D$1:$D$100)+SUMIF(mar!$A$1:$A$100,"PRACA VARNHAGEM",mar!$D$1:$D$100)+SUMIF(mar!$A$1:$A$100,"RAIZES DO SALGUEIRO ESF",mar!$D$1:$D$100)</f>
        <v>82</v>
      </c>
      <c r="F27" s="30">
        <f>SUMIF(abr!$A$1:$A$100,"SALGUEIRO",abr!$D$1:$D$100)+SUMIF(abr!$A$1:$A$100,"PRACA VARNHAGEM",abr!$D$1:$D$100)+SUMIF(abr!$A$1:$A$100,"RAIZES DO SALGUEIRO ESF",abr!$D$1:$D$100)</f>
        <v>78</v>
      </c>
      <c r="G27" s="30">
        <f>SUMIF(mai!$A$1:$A$100,"SALGUEIRO",mai!$D$1:$D$100)+SUMIF(mai!$A$1:$A$100,"PRACA VARNHAGEM",mai!$D$1:$D$100)+SUMIF(mai!$A$1:$A$100,"RAIZES DO SALGUEIRO ESF",mai!$D$1:$D$100)</f>
        <v>77</v>
      </c>
      <c r="H27" s="30">
        <f>SUMIF(jun!$A$1:$A$100,"SALGUEIRO",jun!$D$1:$D$100)+SUMIF(jun!$A$1:$A$100,"PRACA VARNHAGEM",jun!$D$1:$D$100)+SUMIF(jun!$A$1:$A$100,"RAIZES DO SALGUEIRO ESF",jun!$D$1:$D$100)</f>
        <v>71</v>
      </c>
      <c r="I27" s="30">
        <f>SUMIF(jul!$A$1:$A$100,"SALGUEIRO",jul!$D$1:$D$100)+SUMIF(jul!$A$1:$A$100,"PRACA VARNHAGEM",jul!$D$1:$D$100)+SUMIF(jul!$A$1:$A$100,"RAIZES DO SALGUEIRO ESF",jul!$D$1:$D$100)</f>
        <v>72</v>
      </c>
      <c r="J27" s="30">
        <f>SUMIF(ago!$A$1:$A$100,"SALGUEIRO",ago!$D$1:$D$100)+SUMIF(ago!$A$1:$A$100,"PRACA VARNHAGEM",ago!$D$1:$D$100)+SUMIF(ago!$A$1:$A$100,"RAIZES DO SALGUEIRO ESF",ago!$D$1:$D$100)</f>
        <v>68</v>
      </c>
      <c r="K27" s="30">
        <f>SUMIF(set!$A$1:$A$100,"SALGUEIRO",set!$D$1:$D$100)+SUMIF(set!$A$1:$A$100,"PRACA VARNHAGEM",set!$D$1:$D$100)+SUMIF(set!$A$1:$A$100,"RAIZES DO SALGUEIRO ESF",set!$D$1:$D$100)</f>
        <v>0</v>
      </c>
      <c r="L27" s="30">
        <f>SUMIF(out!$A$1:$A$100,"SALGUEIRO",out!$D$1:$D$100)+SUMIF(out!$A$1:$A$100,"PRACA VARNHAGEM",out!$D$1:$D$100)+SUMIF(out!$A$1:$A$100,"RAIZES DO SALGUEIRO ESF",out!$D$1:$D$100)</f>
        <v>0</v>
      </c>
      <c r="M27" s="30">
        <f>SUMIF(nov!$A$1:$A$100,"SALGUEIRO",nov!$D$1:$D$100)+SUMIF(nov!$A$1:$A$100,"PRACA VARNHAGEM",nov!$D$1:$D$100)+SUMIF(nov!$A$1:$A$100,"RAIZES DO SALGUEIRO ESF",nov!$D$1:$D$100)</f>
        <v>0</v>
      </c>
      <c r="N27" s="30">
        <f>SUMIF(dez!$A$1:$A$100,"SALGUEIRO",dez!$D$1:$D$100)+SUMIF(dez!$A$1:$A$100,"PRACA VARNHAGEM",dez!$D$1:$D$100)+SUMIF(dez!$A$1:$A$100,"RAIZES DO SALGUEIRO ESF",dez!$D$1:$D$100)</f>
        <v>0</v>
      </c>
      <c r="O27" s="30">
        <f t="shared" si="32"/>
        <v>244</v>
      </c>
      <c r="P27" s="30">
        <f t="shared" si="33"/>
        <v>226</v>
      </c>
      <c r="Q27" s="30">
        <f t="shared" si="34"/>
        <v>140</v>
      </c>
      <c r="R27" s="30">
        <f t="shared" si="35"/>
        <v>0</v>
      </c>
      <c r="S27" s="38">
        <f t="shared" ref="S27:S30" si="36">C27+D27+E27</f>
        <v>244</v>
      </c>
      <c r="T27" s="39"/>
      <c r="U27" s="39"/>
      <c r="V27" s="39"/>
      <c r="W27" s="40"/>
      <c r="X27" s="40"/>
      <c r="Y27" s="40"/>
    </row>
    <row r="28">
      <c r="A28" s="31"/>
      <c r="B28" s="29" t="s">
        <v>174</v>
      </c>
      <c r="C28" s="30">
        <f>SUMIF(jan!$A$1:$A$94,"BARAO DE PIRASSINUNGA",jan!$D$1:$D$100)+SUMIF(jan!$A$1:$A$94,"ANTONIO BASILIO ESF",jan!$D$1:$D$100)+SUMIF(jan!$A$1:$A$94,"SANTA SOFIA",jan!$D$1:$D$100)+SUMIF(jan!$A$1:$A$94,"SAO FRANCISCO I",jan!$D$1:$D$100)+SUMIF(jan!$A$1:$A$94,"SAO FRANCISCO II",jan!$D$1:$D$100)+SUMIF(jan!$A$1:$A$94,"SAO FRANCISCO III",jan!$D$1:$D$100)</f>
        <v>25</v>
      </c>
      <c r="D28" s="30">
        <f>SUMIF(fev!$A$1:$A$100,"BARAO DE PIRASSINUNGA",fev!$D$1:$D$100)+SUMIF(fev!$A$1:$A$100,"ANTONIO BASILIO ESF",fev!$D$1:$D$100)+SUMIF(fev!$A$1:$A$100,"SANTA SOFIA",fev!$D$1:$D$100)+SUMIF(fev!$A$1:$A$100,"SAO FRANCISCO I **",fev!$D$1:$D$100)</f>
        <v>20</v>
      </c>
      <c r="E28" s="30">
        <f>SUMIF(mar!$A$1:$A$100,"BARAO DE PIRASSINUNGA",mar!$D$1:$D$100)+SUMIF(mar!$A$1:$A$100,"ANTONIO BASILIO ESF",mar!$D$1:$D$100)+SUMIF(mar!$A$1:$A$100,"SANTA SOFIA",mar!$D$1:$D$100)+SUMIF(mar!$A$1:$A$100,"SAO FRANCISCO I **",mar!$D$1:$D$100)</f>
        <v>20</v>
      </c>
      <c r="F28" s="30">
        <f>SUMIF(abr!$A$1:$A$100,"BARAO DE PIRASSINUNGA",abr!$D$1:$D$100)+SUMIF(abr!$A$1:$A$100,"ANTONIO BASILIO ESF",abr!$D$1:$D$100)+SUMIF(abr!$A$1:$A$100,"SANTA SOFIA",abr!$D$1:$D$100)+SUMIF(abr!$A$1:$A$100,"SAO FRANCISCO I **",abr!$D$1:$D$100)</f>
        <v>24</v>
      </c>
      <c r="G28" s="30">
        <f>SUMIF(mai!$A$1:$A$100,"BARAO DE PIRASSINUNGA",mai!$D$1:$D$100)+SUMIF(mai!$A$1:$A$100,"ANTONIO BASILIO ESF",mai!$D$1:$D$100)+SUMIF(mai!$A$1:$A$100,"SANTA SOFIA",mai!$D$1:$D$100)+SUMIF(mai!$A$1:$A$100,"SAO FRANCISCO I **",mai!$D$1:$D$100)</f>
        <v>26</v>
      </c>
      <c r="H28" s="30">
        <f>SUMIF(jun!$A$1:$A$100,"BARAO DE PIRASSINUNGA",jun!$D$1:$D$100)+SUMIF(jun!$A$1:$A$100,"ANTONIO BASILIO ESF",jun!$D$1:$D$100)+SUMIF(jun!$A$1:$A$100,"SANTA SOFIA",jun!$D$1:$D$100)+SUMIF(jun!$A$1:$A$100,"SAO FRANCISCO I **",jun!$D$1:$D$100)</f>
        <v>27</v>
      </c>
      <c r="I28" s="30">
        <f>SUMIF(jul!$A$1:$A$100,"BARAO DE PIRASSINUNGA",jul!$D$1:$D$100)+SUMIF(jul!$A$1:$A$100,"ANTONIO BASILIO ESF",jul!$D$1:$D$100)+SUMIF(jul!$A$1:$A$100,"SANTA SOFIA",jul!$D$1:$D$100)+SUMIF(jul!$A$1:$A$100,"SAO FRANCISCO I **",jul!$D$1:$D$100)</f>
        <v>23</v>
      </c>
      <c r="J28" s="30">
        <f>SUMIF(ago!$A$1:$A$100,"BARAO DE PIRASSINUNGA",ago!$D$1:$D$100)+SUMIF(ago!$A$1:$A$100,"ANTONIO BASILIO ESF",ago!$D$1:$D$100)+SUMIF(ago!$A$1:$A$100,"SANTA SOFIA",ago!$D$1:$D$100)+SUMIF(ago!$A$1:$A$100,"SAO FRANCISCO I **",ago!$D$1:$D$100)</f>
        <v>22</v>
      </c>
      <c r="K28" s="30">
        <f>SUMIF(set!$A$1:$A$100,"BARAO DE PIRASSINUNGA",set!$D$1:$D$100)+SUMIF(set!$A$1:$A$100,"ANTONIO BASILIO ESF",set!$D$1:$D$100)+SUMIF(set!$A$1:$A$100,"SANTA SOFIA",set!$D$1:$D$100)+SUMIF(set!$A$1:$A$100,"SAO FRANCISCO I **",set!$D$1:$D$100)</f>
        <v>0</v>
      </c>
      <c r="L28" s="30">
        <f>SUMIF(out!$A$1:$A$100,"BARAO DE PIRASSINUNGA",out!$D$1:$D$100)+SUMIF(out!$A$1:$A$100,"ANTONIO BASILIO ESF",out!$D$1:$D$100)+SUMIF(out!$A$1:$A$100,"SANTA SOFIA",out!$D$1:$D$100)+SUMIF(out!$A$1:$A$100,"SAO FRANCISCO I **",out!$D$1:$D$100)</f>
        <v>0</v>
      </c>
      <c r="M28" s="30">
        <f>SUMIF(nov!$A$1:$A$100,"BARAO DE PIRASSINUNGA",nov!$D$1:$D$100)+SUMIF(nov!$A$1:$A$100,"ANTONIO BASILIO ESF",nov!$D$1:$D$100)+SUMIF(nov!$A$1:$A$100,"SANTA SOFIA",nov!$D$1:$D$100)+SUMIF(nov!$A$1:$A$100,"SAO FRANCISCO I **",nov!$D$1:$D$100)</f>
        <v>0</v>
      </c>
      <c r="N28" s="30">
        <f>SUMIF(dez!$A$1:$A$100,"BARAO DE PIRASSINUNGA",dez!$D$1:$D$100)+SUMIF(dez!$A$1:$A$100,"ANTONIO BASILIO ESF",dez!$D$1:$D$100)+SUMIF(dez!$A$1:$A$100,"SANTA SOFIA",dez!$D$1:$D$100)+SUMIF(dez!$A$1:$A$100,"SAO FRANCISCO I **",dez!$D$1:$D$100)</f>
        <v>0</v>
      </c>
      <c r="O28" s="30">
        <f t="shared" si="32"/>
        <v>65</v>
      </c>
      <c r="P28" s="30">
        <f t="shared" si="33"/>
        <v>77</v>
      </c>
      <c r="Q28" s="30">
        <f t="shared" si="34"/>
        <v>45</v>
      </c>
      <c r="R28" s="30">
        <f t="shared" si="35"/>
        <v>0</v>
      </c>
      <c r="S28" s="38">
        <f t="shared" si="36"/>
        <v>65</v>
      </c>
      <c r="T28" s="39"/>
      <c r="U28" s="39"/>
      <c r="V28" s="39"/>
      <c r="W28" s="40"/>
      <c r="X28" s="40"/>
      <c r="Y28" s="40"/>
    </row>
    <row r="29">
      <c r="A29" s="31"/>
      <c r="B29" s="29" t="s">
        <v>175</v>
      </c>
      <c r="C29" s="30">
        <f>SUMIF(jan!$A$1:$A$94,"CATRAMBI I",jan!$D$1:$D$100)+SUMIF(jan!$A$1:$A$94,"CATRAMBI II",jan!$D$1:$D$100)+SUMIF(jan!$A$1:$A$94,"CATRAMBI III",jan!$D$1:$D$100)+SUMIF(jan!$A$1:$A$94,"PINHEIRO DA CUNHA ESF",jan!$D$1:$D$100)+SUMIF(jan!$A$1:$A$94,"ALZIRA BRANDAO",jan!$D$1:$D$100)+SUMIF(jan!$A$1:$A$94,"DONA DELFINA",jan!$D$1:$D$100)</f>
        <v>34</v>
      </c>
      <c r="D29" s="30">
        <f>SUMIF(fev!$A$1:$A$100,"CATRAMBI I **",fev!$D$1:$D$100)+SUMIF(fev!$A$1:$A$100,"PINHEIRO DA CUNHA ESF",fev!$D$1:$D$100)+SUMIF(fev!$A$1:$A$100,"ALZIRA BRANDAO",fev!$D$1:$D$100)+SUMIF(fev!$A$1:$A$100,"DONA DELFINA",fev!$D$1:$D$100)</f>
        <v>33</v>
      </c>
      <c r="E29" s="30">
        <f>SUMIF(mar!$A$1:$A$100,"CATRAMBI I **",mar!$D$1:$D$100)+SUMIF(mar!$A$1:$A$100,"PINHEIRO DA CUNHA ESF",mar!$D$1:$D$100)+SUMIF(mar!$A$1:$A$100,"ALZIRA BRANDAO",mar!$D$1:$D$100)+SUMIF(mar!$A$1:$A$100,"DONA DELFINA",mar!$D$1:$D$100)</f>
        <v>29</v>
      </c>
      <c r="F29" s="30">
        <f>SUMIF(abr!$A$1:$A$100,"CATRAMBI I **",abr!$D$1:$D$100)+SUMIF(abr!$A$1:$A$100,"PINHEIRO DA CUNHA ESF",abr!$D$1:$D$100)+SUMIF(abr!$A$1:$A$100,"ALZIRA BRANDAO",abr!$D$1:$D$100)+SUMIF(abr!$A$1:$A$100,"DONA DELFINA",abr!$D$1:$D$100)</f>
        <v>22</v>
      </c>
      <c r="G29" s="30">
        <f>SUMIF(mai!$A$1:$A$100,"CATRAMBI I **",mai!$D$1:$D$100)+SUMIF(mai!$A$1:$A$100,"PINHEIRO DA CUNHA ESF",mai!$D$1:$D$100)+SUMIF(mai!$A$1:$A$100,"ALZIRA BRANDAO",mai!$D$1:$D$100)+SUMIF(mai!$A$1:$A$100,"DONA DELFINA",mai!$D$1:$D$100)</f>
        <v>18</v>
      </c>
      <c r="H29" s="30">
        <f>SUMIF(jun!$A$1:$A$100,"CATRAMBI I **",jun!$D$1:$D$100)+SUMIF(jun!$A$1:$A$100,"PINHEIRO DA CUNHA ESF",jun!$D$1:$D$100)+SUMIF(jun!$A$1:$A$100,"ALZIRA BRANDAO",jun!$D$1:$D$100)+SUMIF(jun!$A$1:$A$100,"DONA DELFINA",jun!$D$1:$D$100)</f>
        <v>19</v>
      </c>
      <c r="I29" s="30">
        <f>SUMIF(jul!$A$1:$A$100,"CATRAMBI I **",jul!$D$1:$D$100)+SUMIF(jul!$A$1:$A$100,"PINHEIRO DA CUNHA ESF",jul!$D$1:$D$100)+SUMIF(jul!$A$1:$A$100,"ALZIRA BRANDAO",jul!$D$1:$D$100)+SUMIF(jul!$A$1:$A$100,"DONA DELFINA",jul!$D$1:$D$100)</f>
        <v>20</v>
      </c>
      <c r="J29" s="30">
        <f>SUMIF(ago!$A$1:$A$100,"CATRAMBI I **",ago!$D$1:$D$100)+SUMIF(ago!$A$1:$A$100,"PINHEIRO DA CUNHA ESF",ago!$D$1:$D$100)+SUMIF(ago!$A$1:$A$100,"ALZIRA BRANDAO",ago!$D$1:$D$100)+SUMIF(ago!$A$1:$A$100,"DONA DELFINA",ago!$D$1:$D$100)</f>
        <v>25</v>
      </c>
      <c r="K29" s="30">
        <f>SUMIF(set!$A$1:$A$100,"CATRAMBI I **",set!$D$1:$D$100)+SUMIF(set!$A$1:$A$100,"PINHEIRO DA CUNHA ESF",set!$D$1:$D$100)+SUMIF(set!$A$1:$A$100,"ALZIRA BRANDAO",set!$D$1:$D$100)+SUMIF(set!$A$1:$A$100,"DONA DELFINA",set!$D$1:$D$100)</f>
        <v>0</v>
      </c>
      <c r="L29" s="30">
        <f>SUMIF(out!$A$1:$A$100,"CATRAMBI I **",out!$D$1:$D$100)+SUMIF(out!$A$1:$A$100,"PINHEIRO DA CUNHA ESF",out!$D$1:$D$100)+SUMIF(out!$A$1:$A$100,"ALZIRA BRANDAO",out!$D$1:$D$100)+SUMIF(out!$A$1:$A$100,"DONA DELFINA",out!$D$1:$D$100)</f>
        <v>0</v>
      </c>
      <c r="M29" s="30">
        <f>SUMIF(nov!$A$1:$A$100,"CATRAMBI I **",nov!$D$1:$D$100)+SUMIF(nov!$A$1:$A$100,"PINHEIRO DA CUNHA ESF",nov!$D$1:$D$100)+SUMIF(nov!$A$1:$A$100,"ALZIRA BRANDAO",nov!$D$1:$D$100)+SUMIF(nov!$A$1:$A$100,"DONA DELFINA",nov!$D$1:$D$100)</f>
        <v>0</v>
      </c>
      <c r="N29" s="30">
        <f>SUMIF(dez!$A$1:$A$100,"CATRAMBI I **",dez!$D$1:$D$100)+SUMIF(dez!$A$1:$A$100,"PINHEIRO DA CUNHA ESF",dez!$D$1:$D$100)+SUMIF(dez!$A$1:$A$100,"ALZIRA BRANDAO",dez!$D$1:$D$100)+SUMIF(dez!$A$1:$A$100,"DONA DELFINA",dez!$D$1:$D$100)</f>
        <v>0</v>
      </c>
      <c r="O29" s="30">
        <f t="shared" si="32"/>
        <v>96</v>
      </c>
      <c r="P29" s="30">
        <f t="shared" si="33"/>
        <v>59</v>
      </c>
      <c r="Q29" s="30">
        <f t="shared" si="34"/>
        <v>45</v>
      </c>
      <c r="R29" s="30">
        <f t="shared" si="35"/>
        <v>0</v>
      </c>
      <c r="S29" s="38">
        <f t="shared" si="36"/>
        <v>96</v>
      </c>
      <c r="T29" s="39"/>
      <c r="U29" s="39"/>
      <c r="V29" s="39"/>
      <c r="W29" s="40"/>
      <c r="X29" s="40"/>
      <c r="Y29" s="40"/>
    </row>
    <row r="30">
      <c r="A30" s="32"/>
      <c r="B30" s="29" t="s">
        <v>176</v>
      </c>
      <c r="C30" s="30">
        <f>SUMIF(jan!$A$1:$A$94,"SABOIA LIMA I",jan!$D$1:$D$100)+SUMIF(jan!$A$1:$A$94,"SABOIA LIMA II",jan!$D$1:$D$100)+SUMIF(jan!$A$1:$A$94,"SABOIA LIMA III",jan!$D$1:$D$100)+SUMIF(jan!$A$1:$A$94,"XAVIER DE BRITO",jan!$D$1:$D$100)+SUMIF(jan!$A$1:$A$94,"MARIA AMALIA ESF",jan!$D$1:$D$100)</f>
        <v>21</v>
      </c>
      <c r="D30" s="30">
        <f>SUMIF(fev!$A$1:$A$100,"SABOIA LIMA I **",fev!$D$1:$D$100)+SUMIF(fev!$A$1:$A$100,"XAVIER DE BRITO",fev!$D$1:$D$100)+SUMIF(fev!$A$1:$A$100,"MARIA AMALIA ESF",fev!$D$1:$D$100)</f>
        <v>21</v>
      </c>
      <c r="E30" s="30">
        <f>SUMIF(mar!$A$1:$A$100,"SABOIA LIMA I **",mar!$D$1:$D$100)+SUMIF(mar!$A$1:$A$100,"XAVIER DE BRITO",mar!$D$1:$D$100)+SUMIF(mar!$A$1:$A$100,"MARIA AMALIA ESF",mar!$D$1:$D$100)</f>
        <v>21</v>
      </c>
      <c r="F30" s="30">
        <f>SUMIF(abr!$A$1:$A$100,"SABOIA LIMA I **",abr!$D$1:$D$100)+SUMIF(abr!$A$1:$A$100,"XAVIER DE BRITO",abr!$D$1:$D$100)+SUMIF(abr!$A$1:$A$100,"MARIA AMALIA ESF",abr!$D$1:$D$100)</f>
        <v>23</v>
      </c>
      <c r="G30" s="30">
        <f>SUMIF(mai!$A$1:$A$100,"SABOIA LIMA I **",mai!$D$1:$D$100)+SUMIF(mai!$A$1:$A$100,"XAVIER DE BRITO",mai!$D$1:$D$100)+SUMIF(mai!$A$1:$A$100,"MARIA AMALIA ESF",mai!$D$1:$D$100)</f>
        <v>22</v>
      </c>
      <c r="H30" s="30">
        <f>SUMIF(jun!$A$1:$A$100,"SABOIA LIMA I **",jun!$D$1:$D$100)+SUMIF(jun!$A$1:$A$100,"XAVIER DE BRITO",jun!$D$1:$D$100)+SUMIF(jun!$A$1:$A$100,"MARIA AMALIA ESF",jun!$D$1:$D$100)</f>
        <v>22</v>
      </c>
      <c r="I30" s="30">
        <f>SUMIF(jul!$A$1:$A$100,"SABOIA LIMA I **",jul!$D$1:$D$100)+SUMIF(jul!$A$1:$A$100,"XAVIER DE BRITO",jul!$D$1:$D$100)+SUMIF(jul!$A$1:$A$100,"MARIA AMALIA ESF",jul!$D$1:$D$100)</f>
        <v>23</v>
      </c>
      <c r="J30" s="30">
        <f>SUMIF(ago!$A$1:$A$100,"SABOIA LIMA I **",ago!$D$1:$D$100)+SUMIF(ago!$A$1:$A$100,"XAVIER DE BRITO",ago!$D$1:$D$100)+SUMIF(ago!$A$1:$A$100,"MARIA AMALIA ESF",ago!$D$1:$D$100)</f>
        <v>21</v>
      </c>
      <c r="K30" s="30">
        <f>SUMIF(set!$A$1:$A$100,"SABOIA LIMA I **",set!$D$1:$D$100)+SUMIF(set!$A$1:$A$100,"XAVIER DE BRITO",set!$D$1:$D$100)+SUMIF(set!$A$1:$A$100,"MARIA AMALIA ESF",set!$D$1:$D$100)</f>
        <v>0</v>
      </c>
      <c r="L30" s="30">
        <f>SUMIF(out!$A$1:$A$100,"SABOIA LIMA I **",out!$D$1:$D$100)+SUMIF(out!$A$1:$A$100,"XAVIER DE BRITO",out!$D$1:$D$100)+SUMIF(out!$A$1:$A$100,"MARIA AMALIA ESF",out!$D$1:$D$100)</f>
        <v>0</v>
      </c>
      <c r="M30" s="30">
        <f>SUMIF(nov!$A$1:$A$100,"SABOIA LIMA I **",nov!$D$1:$D$100)+SUMIF(nov!$A$1:$A$100,"XAVIER DE BRITO",nov!$D$1:$D$100)+SUMIF(nov!$A$1:$A$100,"MARIA AMALIA ESF",nov!$D$1:$D$100)</f>
        <v>0</v>
      </c>
      <c r="N30" s="30">
        <f>SUMIF(dez!$A$1:$A$100,"SABOIA LIMA I **",dez!$D$1:$D$100)+SUMIF(dez!$A$1:$A$100,"XAVIER DE BRITO",dez!$D$1:$D$100)+SUMIF(dez!$A$1:$A$100,"MARIA AMALIA ESF",dez!$D$1:$D$100)</f>
        <v>0</v>
      </c>
      <c r="O30" s="30">
        <f t="shared" si="32"/>
        <v>63</v>
      </c>
      <c r="P30" s="30">
        <f t="shared" si="33"/>
        <v>67</v>
      </c>
      <c r="Q30" s="30">
        <f t="shared" si="34"/>
        <v>44</v>
      </c>
      <c r="R30" s="30">
        <f t="shared" si="35"/>
        <v>0</v>
      </c>
      <c r="S30" s="38">
        <f t="shared" si="36"/>
        <v>63</v>
      </c>
      <c r="T30" s="39"/>
      <c r="U30" s="39"/>
      <c r="V30" s="39"/>
      <c r="W30" s="40"/>
      <c r="X30" s="40"/>
      <c r="Y30" s="40"/>
    </row>
    <row r="31">
      <c r="A31" s="41" t="s">
        <v>177</v>
      </c>
      <c r="B31" s="29" t="s">
        <v>178</v>
      </c>
      <c r="C31" s="30">
        <f>SUMIF(jan!$A$1:$A$100,"VILLA LOBOS",jan!$D$1:$D$100)+SUMIF(jan!$A$1:$A$100,"AFONSO PENA",jan!$D$1:$D$100)+SUMIF(jan!$A$1:$A$100,"CAPUCHINHOS",jan!$D$1:$D$100)</f>
        <v>33</v>
      </c>
      <c r="D31" s="30">
        <f>SUMIF(fev!$A$1:$A$100,"VILLA LOBOS",fev!$D$1:$D$100)+SUMIF(fev!$A$1:$A$100,"AFONSO PENA",fev!$D$1:$D$100)+SUMIF(fev!$A$1:$A$100,"CAPUCHINHOS",fev!$D$1:$D$100)</f>
        <v>38</v>
      </c>
      <c r="E31" s="30">
        <f>SUMIF(mar!$A$1:$A$100,"VILLA LOBOS",mar!$D$1:$D$100)+SUMIF(mar!$A$1:$A$100,"AFONSO PENA",mar!$D$1:$D$100)+SUMIF(mar!$A$1:$A$100,"CAPUCHINHOS",mar!$D$1:$D$100)</f>
        <v>38</v>
      </c>
      <c r="F31" s="30">
        <f>SUMIF(abr!$A$1:$A$100,"VILLA LOBOS",abr!$D$1:$D$100)+SUMIF(abr!$A$1:$A$100,"AFONSO PENA",abr!$D$1:$D$100)+SUMIF(abr!$A$1:$A$100,"CAPUCHINHOS",abr!$D$1:$D$100)</f>
        <v>38</v>
      </c>
      <c r="G31" s="30">
        <f>SUMIF(mai!$A$1:$A$100,"VILLA LOBOS",mai!$D$1:$D$100)+SUMIF(mai!$A$1:$A$100,"AFONSO PENA",mai!$D$1:$D$100)+SUMIF(mai!$A$1:$A$100,"CAPUCHINHOS",mai!$D$1:$D$100)</f>
        <v>40</v>
      </c>
      <c r="H31" s="30">
        <f>SUMIF(jun!$A$1:$A$100,"VILLA LOBOS",jun!$D$1:$D$100)+SUMIF(jun!$A$1:$A$100,"AFONSO PENA",jun!$D$1:$D$100)+SUMIF(jun!$A$1:$A$100,"CAPUCHINHOS",jun!$D$1:$D$100)</f>
        <v>37</v>
      </c>
      <c r="I31" s="30">
        <f>SUMIF(jul!$A$1:$A$100,"VILLA LOBOS",jul!$D$1:$D$100)+SUMIF(jul!$A$1:$A$100,"AFONSO PENA",jul!$D$1:$D$100)+SUMIF(jul!$A$1:$A$100,"CAPUCHINHOS",jul!$D$1:$D$100)</f>
        <v>44</v>
      </c>
      <c r="J31" s="30">
        <f>SUMIF(ago!$A$1:$A$100,"VILLA LOBOS",ago!$D$1:$D$100)+SUMIF(ago!$A$1:$A$100,"AFONSO PENA",ago!$D$1:$D$100)+SUMIF(ago!$A$1:$A$100,"CAPUCHINHOS",ago!$D$1:$D$100)</f>
        <v>48</v>
      </c>
      <c r="K31" s="30">
        <f>SUMIF(set!$A$1:$A$100,"VILLA LOBOS",set!$D$1:$D$100)+SUMIF(set!$A$1:$A$100,"AFONSO PENA",set!$D$1:$D$100)+SUMIF(set!$A$1:$A$100,"CAPUCHINHOS",set!$D$1:$D$100)</f>
        <v>0</v>
      </c>
      <c r="L31" s="30">
        <f>SUMIF(out!$A$1:$A$100,"VILLA LOBOS",out!$D$1:$D$100)+SUMIF(out!$A$1:$A$100,"AFONSO PENA",out!$D$1:$D$100)+SUMIF(out!$A$1:$A$100,"CAPUCHINHOS",out!$D$1:$D$100)</f>
        <v>0</v>
      </c>
      <c r="M31" s="30">
        <f>SUMIF(nov!$A$1:$A$100,"VILLA LOBOS",nov!$D$1:$D$100)+SUMIF(nov!$A$1:$A$100,"AFONSO PENA",nov!$D$1:$D$100)+SUMIF(nov!$A$1:$A$100,"CAPUCHINHOS",nov!$D$1:$D$100)</f>
        <v>0</v>
      </c>
      <c r="N31" s="30">
        <f>SUMIF(dez!$A$1:$A$100,"VILLA LOBOS",dez!$D$1:$D$100)+SUMIF(dez!$A$1:$A$100,"AFONSO PENA",dez!$D$1:$D$100)+SUMIF(dez!$A$1:$A$100,"CAPUCHINHOS",dez!$D$1:$D$100)</f>
        <v>0</v>
      </c>
      <c r="O31" s="30">
        <f t="shared" si="32"/>
        <v>109</v>
      </c>
      <c r="P31" s="30">
        <f t="shared" si="33"/>
        <v>115</v>
      </c>
      <c r="Q31" s="30">
        <f t="shared" si="34"/>
        <v>92</v>
      </c>
      <c r="R31" s="30">
        <f t="shared" si="35"/>
        <v>0</v>
      </c>
      <c r="S31" s="8"/>
      <c r="T31" s="8"/>
      <c r="U31" s="8"/>
      <c r="V31" s="8"/>
      <c r="W31" s="8"/>
      <c r="X31" s="8"/>
    </row>
    <row r="32">
      <c r="A32" s="31"/>
      <c r="B32" s="29" t="s">
        <v>179</v>
      </c>
      <c r="C32" s="30">
        <f>SUMIF(jan!$A$1:$A$100,"SENADOR FURTADO ESF",jan!$D$1:$D$100)+SUMIF(jan!$A$1:$A$100,"MARIZ E BARROS ESF",jan!$D$1:$D$100)+SUMIF(jan!$A$1:$A$100,"MARACANA",jan!$D$1:$D$100)</f>
        <v>72</v>
      </c>
      <c r="D32" s="30">
        <f>SUMIF(fev!$A$1:$A$100,"SENADOR FURTADO ESF",fev!$D$1:$D$100)+SUMIF(fev!$A$1:$A$100,"MARIZ E BARROS ESF",fev!$D$1:$D$100)+SUMIF(fev!$A$1:$A$100,"MARACANA",fev!$D$1:$D$100)</f>
        <v>75</v>
      </c>
      <c r="E32" s="30">
        <f>SUMIF(mar!$A$1:$A$100,"SENADOR FURTADO ESF",mar!$D$1:$D$100)+SUMIF(mar!$A$1:$A$100,"MARIZ E BARROS ESF",mar!$D$1:$D$100)+SUMIF(mar!$A$1:$A$100,"MARACANA",mar!$D$1:$D$100)</f>
        <v>73</v>
      </c>
      <c r="F32" s="30">
        <f>SUMIF(abr!$A$1:$A$100,"SENADOR FURTADO ESF",abr!$D$1:$D$100)+SUMIF(abr!$A$1:$A$100,"MARIZ E BARROS ESF",abr!$D$1:$D$100)+SUMIF(abr!$A$1:$A$100,"MARACANA",abr!$D$1:$D$100)</f>
        <v>76</v>
      </c>
      <c r="G32" s="30">
        <f>SUMIF(mai!$A$1:$A$100,"SENADOR FURTADO ESF",mai!$D$1:$D$100)+SUMIF(mai!$A$1:$A$100,"MARIZ E BARROS ESF",mai!$D$1:$D$100)+SUMIF(mai!$A$1:$A$100,"MARACANA",mai!$D$1:$D$100)</f>
        <v>82</v>
      </c>
      <c r="H32" s="30">
        <f>SUMIF(jun!$A$1:$A$100,"SENADOR FURTADO ESF",jun!$D$1:$D$100)+SUMIF(jun!$A$1:$A$100,"MARIZ E BARROS ESF",jun!$D$1:$D$100)+SUMIF(jun!$A$1:$A$100,"MARACANA",jun!$D$1:$D$100)</f>
        <v>85</v>
      </c>
      <c r="I32" s="30">
        <f>SUMIF(jul!$A$1:$A$100,"SENADOR FURTADO ESF",jul!$D$1:$D$100)+SUMIF(jul!$A$1:$A$100,"MARIZ E BARROS ESF",jul!$D$1:$D$100)+SUMIF(jul!$A$1:$A$100,"MARACANA",jul!$D$1:$D$100)</f>
        <v>83</v>
      </c>
      <c r="J32" s="30">
        <f>SUMIF(ago!$A$1:$A$100,"SENADOR FURTADO ESF",ago!$D$1:$D$100)+SUMIF(ago!$A$1:$A$100,"MARIZ E BARROS ESF",ago!$D$1:$D$100)+SUMIF(ago!$A$1:$A$100,"MARACANA",ago!$D$1:$D$100)</f>
        <v>82</v>
      </c>
      <c r="K32" s="30">
        <f>SUMIF(set!$A$1:$A$100,"SENADOR FURTADO ESF",set!$D$1:$D$100)+SUMIF(set!$A$1:$A$100,"MARIZ E BARROS ESF",set!$D$1:$D$100)+SUMIF(set!$A$1:$A$100,"MARACANA",set!$D$1:$D$100)</f>
        <v>0</v>
      </c>
      <c r="L32" s="30">
        <f>SUMIF(out!$A$1:$A$100,"SENADOR FURTADO ESF",out!$D$1:$D$100)+SUMIF(out!$A$1:$A$100,"MARIZ E BARROS ESF",out!$D$1:$D$100)+SUMIF(out!$A$1:$A$100,"MARACANA",out!$D$1:$D$100)</f>
        <v>0</v>
      </c>
      <c r="M32" s="30">
        <f>SUMIF(nov!$A$1:$A$100,"SENADOR FURTADO ESF",nov!$D$1:$D$100)+SUMIF(nov!$A$1:$A$100,"MARIZ E BARROS ESF",nov!$D$1:$D$100)+SUMIF(nov!$A$1:$A$100,"MARACANA",nov!$D$1:$D$100)</f>
        <v>0</v>
      </c>
      <c r="N32" s="30">
        <f>SUMIF(dez!$A$1:$A$100,"SENADOR FURTADO ESF",dez!$D$1:$D$100)+SUMIF(dez!$A$1:$A$100,"MARIZ E BARROS ESF",dez!$D$1:$D$100)+SUMIF(dez!$A$1:$A$100,"MARACANA",dez!$D$1:$D$100)</f>
        <v>0</v>
      </c>
      <c r="O32" s="30">
        <f t="shared" si="32"/>
        <v>220</v>
      </c>
      <c r="P32" s="30">
        <f t="shared" si="33"/>
        <v>243</v>
      </c>
      <c r="Q32" s="30">
        <f t="shared" si="34"/>
        <v>165</v>
      </c>
      <c r="R32" s="30">
        <f t="shared" si="35"/>
        <v>0</v>
      </c>
      <c r="S32" s="8"/>
      <c r="T32" s="8"/>
      <c r="U32" s="8"/>
      <c r="V32" s="8"/>
      <c r="W32" s="8"/>
      <c r="X32" s="8"/>
    </row>
    <row r="33">
      <c r="A33" s="32"/>
      <c r="B33" s="29" t="s">
        <v>180</v>
      </c>
      <c r="C33" s="30">
        <f>SUMIF(jan!$A$1:$A$100,"BANDEIRA I",jan!$D$1:$D$100)+SUMIF(jan!$A$1:$A$100,"BANDEIRA II",jan!$D$1:$D$100)+SUMIF(jan!$A$1:$A$100,"BANDEIRA III",jan!$D$1:$D$100)+SUMIF(jan!$A$1:$A$100,"MATOSO I",jan!$D$1:$D$100)+SUMIF(jan!$A$1:$A$100,"MATOSO II",jan!$D$1:$D$100)+SUMIF(jan!$A$1:$A$100,"MATOSO III",jan!$D$1:$D$100)+SUMIF(jan!$A$1:$A$100,"CANABARRO",jan!$D$1:$D$100)</f>
        <v>187</v>
      </c>
      <c r="D33" s="30">
        <f>SUMIF(fev!$A$1:$A$100,"BANDEIRA I",fev!$D$1:$D$100)+SUMIF(fev!$A$1:$A$100,"BANDEIRA II",fev!$D$1:$D$100)+SUMIF(fev!$A$1:$A$100,"BANDEIRA III",fev!$D$1:$D$100)+SUMIF(fev!$A$1:$A$100,"MATOSO I",fev!$D$1:$D$100)+SUMIF(fev!$A$1:$A$100,"MATOSO II",fev!$D$1:$D$100)+SUMIF(fev!$A$1:$A$100,"MATOSO III",fev!$D$1:$D$100)+SUMIF(fev!$A$1:$A$100,"CANABARRO",fev!$D$1:$D$100)</f>
        <v>188</v>
      </c>
      <c r="E33" s="30">
        <f>SUMIF(mar!$A$1:$A$100,"BANDEIRA I",mar!$D$1:$D$100)+SUMIF(mar!$A$1:$A$100,"BANDEIRA II",mar!$D$1:$D$100)+SUMIF(mar!$A$1:$A$100,"BANDEIRA III",mar!$D$1:$D$100)+SUMIF(mar!$A$1:$A$100,"MATOSO I",mar!$D$1:$D$100)+SUMIF(mar!$A$1:$A$100,"MATOSO II",mar!$D$1:$D$100)+SUMIF(mar!$A$1:$A$100,"MATOSO III",mar!$D$1:$D$100)+SUMIF(mar!$A$1:$A$100,"CANABARRO",mar!$D$1:$D$100)</f>
        <v>186</v>
      </c>
      <c r="F33" s="30">
        <f>SUMIF(abr!$A$1:$A$100,"BANDEIRA I",abr!$D$1:$D$100)+SUMIF(abr!$A$1:$A$100,"BANDEIRA II",abr!$D$1:$D$100)+SUMIF(abr!$A$1:$A$100,"BANDEIRA III",abr!$D$1:$D$100)+SUMIF(abr!$A$1:$A$100,"MATOSO I",abr!$D$1:$D$100)+SUMIF(abr!$A$1:$A$100,"MATOSO II",abr!$D$1:$D$100)+SUMIF(abr!$A$1:$A$100,"MATOSO III",abr!$D$1:$D$100)+SUMIF(abr!$A$1:$A$100,"CANABARRO",abr!$D$1:$D$100)</f>
        <v>183</v>
      </c>
      <c r="G33" s="30">
        <f>SUMIF(mai!$A$1:$A$100,"BANDEIRA I",mai!$D$1:$D$100)+SUMIF(mai!$A$1:$A$100,"BANDEIRA II",mai!$D$1:$D$100)+SUMIF(mai!$A$1:$A$100,"BANDEIRA III",mai!$D$1:$D$100)+SUMIF(mai!$A$1:$A$100,"MATOSO I",mai!$D$1:$D$100)+SUMIF(mai!$A$1:$A$100,"MATOSO II",mai!$D$1:$D$100)+SUMIF(mai!$A$1:$A$100,"MATOSO III",mai!$D$1:$D$100)+SUMIF(mai!$A$1:$A$100,"CANABARRO",mai!$D$1:$D$100)</f>
        <v>147</v>
      </c>
      <c r="H33" s="30">
        <f>SUMIF(jun!$A$1:$A$100,"BANDEIRA I",jun!$D$1:$D$100)+SUMIF(jun!$A$1:$A$100,"BANDEIRA II",jun!$D$1:$D$100)+SUMIF(jun!$A$1:$A$100,"BANDEIRA III",jun!$D$1:$D$100)+SUMIF(jun!$A$1:$A$100,"MATOSO I",jun!$D$1:$D$100)+SUMIF(jun!$A$1:$A$100,"MATOSO II",jun!$D$1:$D$100)+SUMIF(jun!$A$1:$A$100,"MATOSO III",jun!$D$1:$D$100)+SUMIF(jun!$A$1:$A$100,"CANABARRO",jun!$D$1:$D$100)</f>
        <v>125</v>
      </c>
      <c r="I33" s="30">
        <f>SUMIF(jul!$A$1:$A$100,"BANDEIRA I",jul!$D$1:$D$100)+SUMIF(jul!$A$1:$A$100,"BANDEIRA II",jul!$D$1:$D$100)+SUMIF(jul!$A$1:$A$100,"BANDEIRA III",jul!$D$1:$D$100)+SUMIF(jul!$A$1:$A$100,"MATOSO I",jul!$D$1:$D$100)+SUMIF(jul!$A$1:$A$100,"MATOSO II",jul!$D$1:$D$100)+SUMIF(jul!$A$1:$A$100,"MATOSO III",jul!$D$1:$D$100)+SUMIF(jul!$A$1:$A$100,"CANABARRO",jul!$D$1:$D$100)</f>
        <v>113</v>
      </c>
      <c r="J33" s="30">
        <f>SUMIF(ago!$A$1:$A$100,"BANDEIRA I",ago!$D$1:$D$100)+SUMIF(ago!$A$1:$A$100,"BANDEIRA II",ago!$D$1:$D$100)+SUMIF(ago!$A$1:$A$100,"BANDEIRA III",ago!$D$1:$D$100)+SUMIF(ago!$A$1:$A$100,"MATOSO I",ago!$D$1:$D$100)+SUMIF(ago!$A$1:$A$100,"MATOSO II",ago!$D$1:$D$100)+SUMIF(ago!$A$1:$A$100,"MATOSO III",ago!$D$1:$D$100)+SUMIF(ago!$A$1:$A$100,"CANABARRO",ago!$D$1:$D$100)</f>
        <v>110</v>
      </c>
      <c r="K33" s="30">
        <f>SUMIF(set!$A$1:$A$100,"BANDEIRA I",set!$D$1:$D$100)+SUMIF(set!$A$1:$A$100,"BANDEIRA II",set!$D$1:$D$100)+SUMIF(set!$A$1:$A$100,"BANDEIRA III",set!$D$1:$D$100)+SUMIF(set!$A$1:$A$100,"MATOSO I",set!$D$1:$D$100)+SUMIF(set!$A$1:$A$100,"MATOSO II",set!$D$1:$D$100)+SUMIF(set!$A$1:$A$100,"MATOSO III",set!$D$1:$D$100)+SUMIF(set!$A$1:$A$100,"CANABARRO",set!$D$1:$D$100)</f>
        <v>0</v>
      </c>
      <c r="L33" s="30">
        <f>SUMIF(out!$A$1:$A$100,"BANDEIRA I",out!$D$1:$D$100)+SUMIF(out!$A$1:$A$100,"BANDEIRA II",out!$D$1:$D$100)+SUMIF(out!$A$1:$A$100,"BANDEIRA III",out!$D$1:$D$100)+SUMIF(out!$A$1:$A$100,"MATOSO I",out!$D$1:$D$100)+SUMIF(out!$A$1:$A$100,"MATOSO II",out!$D$1:$D$100)+SUMIF(out!$A$1:$A$100,"MATOSO III",out!$D$1:$D$100)+SUMIF(out!$A$1:$A$100,"CANABARRO",out!$D$1:$D$100)</f>
        <v>0</v>
      </c>
      <c r="M33" s="30">
        <f>SUMIF(nov!$A$1:$A$100,"BANDEIRA I",nov!$D$1:$D$100)+SUMIF(nov!$A$1:$A$100,"BANDEIRA II",nov!$D$1:$D$100)+SUMIF(nov!$A$1:$A$100,"BANDEIRA III",nov!$D$1:$D$100)+SUMIF(nov!$A$1:$A$100,"MATOSO I",nov!$D$1:$D$100)+SUMIF(nov!$A$1:$A$100,"MATOSO II",nov!$D$1:$D$100)+SUMIF(nov!$A$1:$A$100,"MATOSO III",nov!$D$1:$D$100)+SUMIF(nov!$A$1:$A$100,"CANABARRO",nov!$D$1:$D$100)</f>
        <v>0</v>
      </c>
      <c r="N33" s="30">
        <f>SUMIF(dez!$A$1:$A$100,"BANDEIRA I",dez!$D$1:$D$100)+SUMIF(dez!$A$1:$A$100,"BANDEIRA II",dez!$D$1:$D$100)+SUMIF(dez!$A$1:$A$100,"BANDEIRA III",dez!$D$1:$D$100)+SUMIF(dez!$A$1:$A$100,"MATOSO I",dez!$D$1:$D$100)+SUMIF(dez!$A$1:$A$100,"MATOSO II",dez!$D$1:$D$100)+SUMIF(dez!$A$1:$A$100,"MATOSO III",dez!$D$1:$D$100)+SUMIF(dez!$A$1:$A$100,"CANABARRO",dez!$D$1:$D$100)</f>
        <v>0</v>
      </c>
      <c r="O33" s="30">
        <f t="shared" si="32"/>
        <v>561</v>
      </c>
      <c r="P33" s="30">
        <f t="shared" si="33"/>
        <v>455</v>
      </c>
      <c r="Q33" s="30">
        <f t="shared" si="34"/>
        <v>223</v>
      </c>
      <c r="R33" s="30">
        <f t="shared" si="35"/>
        <v>0</v>
      </c>
      <c r="S33" s="8"/>
      <c r="T33" s="8"/>
      <c r="U33" s="8"/>
      <c r="V33" s="8"/>
      <c r="W33" s="8"/>
      <c r="X33" s="8"/>
    </row>
    <row r="34">
      <c r="A34" s="33" t="s">
        <v>181</v>
      </c>
      <c r="B34" s="42" t="s">
        <v>182</v>
      </c>
      <c r="C34" s="30">
        <f>SUMIF(jan!$A$1:$A$100,"SENADOR",jan!$D$1:$D$100)+SUMIF(jan!$A$1:$A$100,"BARAO DE COTEGIPE",jan!$D$1:$D$100)+SUMIF(jan!$A$1:$A$100,"PETROCOCHINO",jan!$D$1:$D$100)+SUMIF(jan!$A$1:$A$100,"SANTA ISABEL",jan!$D$1:$D$100)</f>
        <v>48</v>
      </c>
      <c r="D34" s="30">
        <f>SUMIF(fev!$A$1:$A$100,"SENADOR",fev!$D$1:$D$100)+SUMIF(fev!$A$1:$A$100,"BARAO DE COTEGIPE",fev!$D$1:$D$100)+SUMIF(fev!$A$1:$A$100,"PETROCOCHINO",fev!$D$1:$D$100)+SUMIF(fev!$A$1:$A$100,"SANTA ISABEL",fev!$D$1:$D$100)</f>
        <v>48</v>
      </c>
      <c r="E34" s="30">
        <f>SUMIF(mar!$A$1:$A$100,"SENADOR",mar!$D$1:$D$100)+SUMIF(mar!$A$1:$A$100,"BARAO DE COTEGIPE",mar!$D$1:$D$100)+SUMIF(mar!$A$1:$A$100,"PETROCOCHINO",mar!$D$1:$D$100)+SUMIF(mar!$A$1:$A$100,"SANTA ISABEL",mar!$D$1:$D$100)</f>
        <v>52</v>
      </c>
      <c r="F34" s="30">
        <f>SUMIF(abr!$A$1:$A$100,"SENADOR",abr!$D$1:$D$100)+SUMIF(abr!$A$1:$A$100,"BARAO DE COTEGIPE",abr!$D$1:$D$100)+SUMIF(abr!$A$1:$A$100,"PETROCOCHINO",abr!$D$1:$D$100)+SUMIF(abr!$A$1:$A$100,"SANTA ISABEL",abr!$D$1:$D$100)</f>
        <v>55</v>
      </c>
      <c r="G34" s="30">
        <f>SUMIF(mai!$A$1:$A$100,"SENADOR",mai!$D$1:$D$100)+SUMIF(mai!$A$1:$A$100,"BARAO DE COTEGIPE",mai!$D$1:$D$100)+SUMIF(mai!$A$1:$A$100,"PETROCOCHINO",mai!$D$1:$D$100)+SUMIF(mai!$A$1:$A$100,"SANTA ISABEL",mai!$D$1:$D$100)</f>
        <v>59</v>
      </c>
      <c r="H34" s="30">
        <f>SUMIF(jun!$A$1:$A$100,"SENADOR",jun!$D$1:$D$100)+SUMIF(jun!$A$1:$A$100,"BARAO DE COTEGIPE",jun!$D$1:$D$100)+SUMIF(jun!$A$1:$A$100,"PETROCOCHINO",jun!$D$1:$D$100)+SUMIF(jun!$A$1:$A$100,"SANTA ISABEL",jun!$D$1:$D$100)</f>
        <v>66</v>
      </c>
      <c r="I34" s="30">
        <f>SUMIF(jul!$A$1:$A$100,"SENADOR",jul!$D$1:$D$100)+SUMIF(jul!$A$1:$A$100,"BARAO DE COTEGIPE",jul!$D$1:$D$100)+SUMIF(jul!$A$1:$A$100,"PETROCOCHINO",jul!$D$1:$D$100)+SUMIF(jul!$A$1:$A$100,"SANTA ISABEL",jul!$D$1:$D$100)</f>
        <v>69</v>
      </c>
      <c r="J34" s="30">
        <f>SUMIF(ago!$A$1:$A$100,"SENADOR",ago!$D$1:$D$100)+SUMIF(ago!$A$1:$A$100,"BARAO DE COTEGIPE",ago!$D$1:$D$100)+SUMIF(ago!$A$1:$A$100,"PETROCOCHINO",ago!$D$1:$D$100)+SUMIF(ago!$A$1:$A$100,"SANTA ISABEL",ago!$D$1:$D$100)</f>
        <v>67</v>
      </c>
      <c r="K34" s="30">
        <f>SUMIF(set!$A$1:$A$100,"SENADOR",set!$D$1:$D$100)+SUMIF(set!$A$1:$A$100,"BARAO DE COTEGIPE",set!$D$1:$D$100)+SUMIF(set!$A$1:$A$100,"PETROCOCHINO",set!$D$1:$D$100)+SUMIF(set!$A$1:$A$100,"SANTA ISABEL",set!$D$1:$D$100)</f>
        <v>0</v>
      </c>
      <c r="L34" s="30">
        <f>SUMIF(out!$A$1:$A$100,"SENADOR",out!$D$1:$D$100)+SUMIF(out!$A$1:$A$100,"BARAO DE COTEGIPE",out!$D$1:$D$100)+SUMIF(out!$A$1:$A$100,"PETROCOCHINO",out!$D$1:$D$100)+SUMIF(out!$A$1:$A$100,"SANTA ISABEL",out!$D$1:$D$100)</f>
        <v>0</v>
      </c>
      <c r="M34" s="30">
        <f>SUMIF(nov!$A$1:$A$100,"SENADOR",nov!$D$1:$D$100)+SUMIF(nov!$A$1:$A$100,"BARAO DE COTEGIPE",nov!$D$1:$D$100)+SUMIF(nov!$A$1:$A$100,"PETROCOCHINO",nov!$D$1:$D$100)+SUMIF(nov!$A$1:$A$100,"SANTA ISABEL",nov!$D$1:$D$100)</f>
        <v>0</v>
      </c>
      <c r="N34" s="30">
        <f>SUMIF(dez!$A$1:$A$100,"SENADOR",dez!$D$1:$D$100)+SUMIF(dez!$A$1:$A$100,"BARAO DE COTEGIPE",dez!$D$1:$D$100)+SUMIF(dez!$A$1:$A$100,"PETROCOCHINO",dez!$D$1:$D$100)+SUMIF(dez!$A$1:$A$100,"SANTA ISABEL",dez!$D$1:$D$100)</f>
        <v>0</v>
      </c>
      <c r="O34" s="30">
        <f t="shared" si="32"/>
        <v>148</v>
      </c>
      <c r="P34" s="30">
        <f t="shared" si="33"/>
        <v>180</v>
      </c>
      <c r="Q34" s="30">
        <f t="shared" si="34"/>
        <v>136</v>
      </c>
      <c r="R34" s="30">
        <f t="shared" si="35"/>
        <v>0</v>
      </c>
      <c r="S34" s="8"/>
      <c r="T34" s="8"/>
      <c r="U34" s="8"/>
      <c r="V34" s="8"/>
      <c r="W34" s="8"/>
      <c r="X34" s="8"/>
    </row>
    <row r="35">
      <c r="A35" s="31"/>
      <c r="B35" s="42" t="s">
        <v>183</v>
      </c>
      <c r="C35" s="30">
        <f>SUMIF(jan!$A$1:$A$100,"MIGUEL PEDRO",jan!$D$1:$D$100)+SUMIF(jan!$A$1:$A$100,"MANOEL DE ABREU",jan!$D$1:$D$100)+SUMIF(jan!$A$1:$A$100,"VILA OPERARIA ESF",jan!$D$1:$D$100)</f>
        <v>49</v>
      </c>
      <c r="D35" s="30">
        <f>SUMIF(fev!$A$1:$A$100,"MIGUEL PEDRO",fev!$D$1:$D$100)+SUMIF(fev!$A$1:$A$100,"MANOEL DE ABREU",fev!$D$1:$D$100)+SUMIF(fev!$A$1:$A$100,"VILA OPERARIA ESF",fev!$D$1:$D$100)</f>
        <v>49</v>
      </c>
      <c r="E35" s="30">
        <f>SUMIF(mar!$A$1:$A$100,"MIGUEL PEDRO",mar!$D$1:$D$100)+SUMIF(mar!$A$1:$A$100,"MANOEL DE ABREU",mar!$D$1:$D$100)+SUMIF(mar!$A$1:$A$100,"VILA OPERARIA ESF",mar!$D$1:$D$100)</f>
        <v>43</v>
      </c>
      <c r="F35" s="30">
        <f>SUMIF(abr!$A$1:$A$100,"MIGUEL PEDRO",abr!$D$1:$D$100)+SUMIF(abr!$A$1:$A$100,"MANOEL DE ABREU",abr!$D$1:$D$100)+SUMIF(abr!$A$1:$A$100,"VILA OPERARIA ESF",abr!$D$1:$D$100)</f>
        <v>42</v>
      </c>
      <c r="G35" s="30">
        <f>SUMIF(mai!$A$1:$A$100,"MIGUEL PEDRO",mai!$D$1:$D$100)+SUMIF(mai!$A$1:$A$100,"MANOEL DE ABREU",mai!$D$1:$D$100)+SUMIF(mai!$A$1:$A$100,"VILA OPERARIA ESF",mai!$D$1:$D$100)</f>
        <v>44</v>
      </c>
      <c r="H35" s="30">
        <f>SUMIF(jun!$A$1:$A$100,"MIGUEL PEDRO",jun!$D$1:$D$100)+SUMIF(jun!$A$1:$A$100,"MANOEL DE ABREU",jun!$D$1:$D$100)+SUMIF(jun!$A$1:$A$100,"VILA OPERARIA ESF",jun!$D$1:$D$100)</f>
        <v>46</v>
      </c>
      <c r="I35" s="30">
        <f>SUMIF(jul!$A$1:$A$100,"MIGUEL PEDRO",jul!$D$1:$D$100)+SUMIF(jul!$A$1:$A$100,"MANOEL DE ABREU",jul!$D$1:$D$100)+SUMIF(jul!$A$1:$A$100,"VILA OPERARIA ESF",jul!$D$1:$D$100)</f>
        <v>52</v>
      </c>
      <c r="J35" s="30">
        <f>SUMIF(ago!$A$1:$A$100,"MIGUEL PEDRO",ago!$D$1:$D$100)+SUMIF(ago!$A$1:$A$100,"MANOEL DE ABREU",ago!$D$1:$D$100)+SUMIF(ago!$A$1:$A$100,"VILA OPERARIA ESF",ago!$D$1:$D$100)</f>
        <v>61</v>
      </c>
      <c r="K35" s="30">
        <f>SUMIF(set!$A$1:$A$100,"MIGUEL PEDRO",set!$D$1:$D$100)+SUMIF(set!$A$1:$A$100,"MANOEL DE ABREU",set!$D$1:$D$100)+SUMIF(set!$A$1:$A$100,"VILA OPERARIA ESF",set!$D$1:$D$100)</f>
        <v>0</v>
      </c>
      <c r="L35" s="30">
        <f>SUMIF(out!$A$1:$A$100,"MIGUEL PEDRO",out!$D$1:$D$100)+SUMIF(out!$A$1:$A$100,"MANOEL DE ABREU",out!$D$1:$D$100)+SUMIF(out!$A$1:$A$100,"VILA OPERARIA ESF",out!$D$1:$D$100)</f>
        <v>0</v>
      </c>
      <c r="M35" s="30">
        <f>SUMIF(nov!$A$1:$A$100,"MIGUEL PEDRO",nov!$D$1:$D$100)+SUMIF(nov!$A$1:$A$100,"MANOEL DE ABREU",nov!$D$1:$D$100)+SUMIF(nov!$A$1:$A$100,"VILA OPERARIA ESF",nov!$D$1:$D$100)</f>
        <v>0</v>
      </c>
      <c r="N35" s="30">
        <f>SUMIF(dez!$A$1:$A$100,"MIGUEL PEDRO",dez!$D$1:$D$100)+SUMIF(dez!$A$1:$A$100,"MANOEL DE ABREU",dez!$D$1:$D$100)+SUMIF(dez!$A$1:$A$100,"VILA OPERARIA ESF",dez!$D$1:$D$100)</f>
        <v>0</v>
      </c>
      <c r="O35" s="30">
        <f t="shared" si="32"/>
        <v>141</v>
      </c>
      <c r="P35" s="30">
        <f t="shared" si="33"/>
        <v>132</v>
      </c>
      <c r="Q35" s="30">
        <f t="shared" si="34"/>
        <v>113</v>
      </c>
      <c r="R35" s="30">
        <f t="shared" si="35"/>
        <v>0</v>
      </c>
      <c r="S35" s="8"/>
      <c r="T35" s="8"/>
      <c r="U35" s="8"/>
      <c r="V35" s="8"/>
      <c r="W35" s="8"/>
      <c r="X35" s="8"/>
    </row>
    <row r="36">
      <c r="A36" s="32"/>
      <c r="B36" s="42" t="s">
        <v>184</v>
      </c>
      <c r="C36" s="30">
        <f>SUMIF(jan!$A$1:$A$100,"CONSELHEIRO",jan!$D$1:$D$100)+SUMIF(jan!$A$1:$A$100,"SOUZA FRANCO",jan!$D$1:$D$100)+SUMIF(jan!$A$1:$A$100,"VIA LACTEA",jan!$D$1:$D$100)</f>
        <v>52</v>
      </c>
      <c r="D36" s="30">
        <f>SUMIF(fev!$A$1:$A$100,"CONSELHEIRO",fev!$D$1:$D$100)+SUMIF(fev!$A$1:$A$100,"SOUZA FRANCO",fev!$D$1:$D$100)+SUMIF(fev!$A$1:$A$100,"VIA LACTEA",fev!$D$1:$D$100)</f>
        <v>48</v>
      </c>
      <c r="E36" s="30">
        <f>SUMIF(mar!$A$1:$A$100,"CONSELHEIRO",mar!$D$1:$D$100)+SUMIF(mar!$A$1:$A$100,"SOUZA FRANCO",mar!$D$1:$D$100)+SUMIF(mar!$A$1:$A$100,"VIA LACTEA",mar!$D$1:$D$100)</f>
        <v>53</v>
      </c>
      <c r="F36" s="30">
        <f>SUMIF(abr!$A$1:$A$100,"CONSELHEIRO",abr!$D$1:$D$100)+SUMIF(abr!$A$1:$A$100,"SOUZA FRANCO",abr!$D$1:$D$100)+SUMIF(abr!$A$1:$A$100,"VIA LACTEA",abr!$D$1:$D$100)</f>
        <v>57</v>
      </c>
      <c r="G36" s="30">
        <f>SUMIF(mai!$A$1:$A$100,"CONSELHEIRO",mai!$D$1:$D$100)+SUMIF(mai!$A$1:$A$100,"SOUZA FRANCO",mai!$D$1:$D$100)+SUMIF(mai!$A$1:$A$100,"VIA LACTEA",mai!$D$1:$D$100)</f>
        <v>60</v>
      </c>
      <c r="H36" s="30">
        <f>SUMIF(jun!$A$1:$A$100,"CONSELHEIRO",jun!$D$1:$D$100)+SUMIF(jun!$A$1:$A$100,"SOUZA FRANCO",jun!$D$1:$D$100)+SUMIF(jun!$A$1:$A$100,"VIA LACTEA",jun!$D$1:$D$100)</f>
        <v>64</v>
      </c>
      <c r="I36" s="30">
        <f>SUMIF(jul!$A$1:$A$100,"CONSELHEIRO",jul!$D$1:$D$100)+SUMIF(jul!$A$1:$A$100,"SOUZA FRANCO",jul!$D$1:$D$100)+SUMIF(jul!$A$1:$A$100,"VIA LACTEA",jul!$D$1:$D$100)</f>
        <v>66</v>
      </c>
      <c r="J36" s="30">
        <f>SUMIF(ago!$A$1:$A$100,"CONSELHEIRO",ago!$D$1:$D$100)+SUMIF(ago!$A$1:$A$100,"SOUZA FRANCO",ago!$D$1:$D$100)+SUMIF(ago!$A$1:$A$100,"VIA LACTEA",ago!$D$1:$D$100)</f>
        <v>67</v>
      </c>
      <c r="K36" s="30">
        <f>SUMIF(set!$A$1:$A$100,"CONSELHEIRO",set!$D$1:$D$100)+SUMIF(set!$A$1:$A$100,"SOUZA FRANCO",set!$D$1:$D$100)+SUMIF(set!$A$1:$A$100,"VIA LACTEA",set!$D$1:$D$100)</f>
        <v>0</v>
      </c>
      <c r="L36" s="30">
        <f>SUMIF(out!$A$1:$A$100,"CONSELHEIRO",out!$D$1:$D$100)+SUMIF(out!$A$1:$A$100,"SOUZA FRANCO",out!$D$1:$D$100)+SUMIF(out!$A$1:$A$100,"VIA LACTEA",out!$D$1:$D$100)</f>
        <v>0</v>
      </c>
      <c r="M36" s="30">
        <f>SUMIF(nov!$A$1:$A$100,"CONSELHEIRO",nov!$D$1:$D$100)+SUMIF(nov!$A$1:$A$100,"SOUZA FRANCO",nov!$D$1:$D$100)+SUMIF(nov!$A$1:$A$100,"VIA LACTEA",nov!$D$1:$D$100)</f>
        <v>0</v>
      </c>
      <c r="N36" s="30">
        <f>SUMIF(dez!$A$1:$A$100,"CONSELHEIRO",dez!$D$1:$D$100)+SUMIF(dez!$A$1:$A$100,"SOUZA FRANCO",dez!$D$1:$D$100)+SUMIF(dez!$A$1:$A$100,"VIA LACTEA",dez!$D$1:$D$100)</f>
        <v>0</v>
      </c>
      <c r="O36" s="30">
        <f t="shared" si="32"/>
        <v>153</v>
      </c>
      <c r="P36" s="30">
        <f t="shared" si="33"/>
        <v>181</v>
      </c>
      <c r="Q36" s="30">
        <f t="shared" si="34"/>
        <v>133</v>
      </c>
      <c r="R36" s="30">
        <f t="shared" si="35"/>
        <v>0</v>
      </c>
      <c r="S36" s="8"/>
      <c r="T36" s="8"/>
      <c r="U36" s="8"/>
      <c r="V36" s="8"/>
      <c r="W36" s="8"/>
      <c r="X36" s="8"/>
    </row>
    <row r="37">
      <c r="A37" s="43" t="s">
        <v>185</v>
      </c>
      <c r="B37" s="42" t="s">
        <v>186</v>
      </c>
      <c r="C37" s="30">
        <f>SUMIF(jan!$A$1:$A$100,"BOA VISTA",jan!$D$1:$D$100)+SUMIF(jan!$A$1:$A$100,"FLORESTA DA TIJUCA",jan!$D$1:$D$100)+SUMIF(jan!$A$1:$A$100,"CACHOEIRA",jan!$D$1:$D$100)</f>
        <v>57</v>
      </c>
      <c r="D37" s="30">
        <f>SUMIF(fev!$A$1:$A$100,"BOA VISTA",fev!$D$1:$D$100)+SUMIF(fev!$A$1:$A$100,"FLORESTA DA TIJUCA",fev!$D$1:$D$100)+SUMIF(fev!$A$1:$A$100,"CACHOEIRA",fev!$D$1:$D$100)</f>
        <v>62</v>
      </c>
      <c r="E37" s="30">
        <f>SUMIF(mar!$A$1:$A$100,"BOA VISTA",mar!$D$1:$D$100)+SUMIF(mar!$A$1:$A$100,"FLORESTA DA TIJUCA",mar!$D$1:$D$100)+SUMIF(mar!$A$1:$A$100,"CACHOEIRA",mar!$D$1:$D$100)</f>
        <v>73</v>
      </c>
      <c r="F37" s="30">
        <f>SUMIF(abr!$A$1:$A$100,"BOA VISTA",abr!$D$1:$D$100)+SUMIF(abr!$A$1:$A$100,"FLORESTA DA TIJUCA",abr!$D$1:$D$100)+SUMIF(abr!$A$1:$A$100,"CACHOEIRA",abr!$D$1:$D$100)</f>
        <v>76</v>
      </c>
      <c r="G37" s="30">
        <f>SUMIF(mai!$A$1:$A$100,"BOA VISTA",mai!$D$1:$D$100)+SUMIF(mai!$A$1:$A$100,"FLORESTA DA TIJUCA",mai!$D$1:$D$100)+SUMIF(mai!$A$1:$A$100,"CACHOEIRA",mai!$D$1:$D$100)</f>
        <v>86</v>
      </c>
      <c r="H37" s="30">
        <f>SUMIF(jun!$A$1:$A$100,"BOA VISTA",jun!$D$1:$D$100)+SUMIF(jun!$A$1:$A$100,"FLORESTA DA TIJUCA",jun!$D$1:$D$100)+SUMIF(jun!$A$1:$A$100,"CACHOEIRA",jun!$D$1:$D$100)</f>
        <v>79</v>
      </c>
      <c r="I37" s="30">
        <f>SUMIF(jul!$A$1:$A$100,"BOA VISTA",jul!$D$1:$D$100)+SUMIF(jul!$A$1:$A$100,"FLORESTA DA TIJUCA",jul!$D$1:$D$100)+SUMIF(jul!$A$1:$A$100,"CACHOEIRA",jul!$D$1:$D$100)</f>
        <v>94</v>
      </c>
      <c r="J37" s="30">
        <f>SUMIF(ago!$A$1:$A$100,"BOA VISTA",ago!$D$1:$D$100)+SUMIF(ago!$A$1:$A$100,"FLORESTA DA TIJUCA",ago!$D$1:$D$100)+SUMIF(ago!$A$1:$A$100,"CACHOEIRA",ago!$D$1:$D$100)</f>
        <v>103</v>
      </c>
      <c r="K37" s="30">
        <f>SUMIF(set!$A$1:$A$100,"BOA VISTA",set!$D$1:$D$100)+SUMIF(set!$A$1:$A$100,"FLORESTA DA TIJUCA",set!$D$1:$D$100)+SUMIF(set!$A$1:$A$100,"CACHOEIRA",set!$D$1:$D$100)</f>
        <v>0</v>
      </c>
      <c r="L37" s="30">
        <f>SUMIF(out!$A$1:$A$100,"BOA VISTA",out!$D$1:$D$100)+SUMIF(out!$A$1:$A$100,"FLORESTA DA TIJUCA",out!$D$1:$D$100)+SUMIF(out!$A$1:$A$100,"CACHOEIRA",out!$D$1:$D$100)</f>
        <v>0</v>
      </c>
      <c r="M37" s="30">
        <f>SUMIF(nov!$A$1:$A$100,"BOA VISTA",nov!$D$1:$D$100)+SUMIF(nov!$A$1:$A$100,"FLORESTA DA TIJUCA",nov!$D$1:$D$100)+SUMIF(nov!$A$1:$A$100,"CACHOEIRA",nov!$D$1:$D$100)</f>
        <v>0</v>
      </c>
      <c r="N37" s="30">
        <f>SUMIF(dez!$A$1:$A$100,"BOA VISTA",dez!$D$1:$D$100)+SUMIF(dez!$A$1:$A$100,"FLORESTA DA TIJUCA",dez!$D$1:$D$100)+SUMIF(dez!$A$1:$A$100,"CACHOEIRA",dez!$D$1:$D$100)</f>
        <v>0</v>
      </c>
      <c r="O37" s="30">
        <f t="shared" si="32"/>
        <v>192</v>
      </c>
      <c r="P37" s="30">
        <f t="shared" si="33"/>
        <v>241</v>
      </c>
      <c r="Q37" s="30">
        <f t="shared" si="34"/>
        <v>197</v>
      </c>
      <c r="R37" s="30">
        <f t="shared" si="35"/>
        <v>0</v>
      </c>
      <c r="S37" s="8"/>
      <c r="T37" s="8"/>
      <c r="U37" s="8"/>
      <c r="V37" s="8"/>
      <c r="W37" s="8"/>
      <c r="X37" s="8"/>
    </row>
    <row r="38">
      <c r="A38" s="43" t="s">
        <v>187</v>
      </c>
      <c r="B38" s="42" t="s">
        <v>188</v>
      </c>
      <c r="C38" s="30">
        <f>SUMIF(jan!$A$1:$A$100,"RAIA",jan!$D$1:$D$100)+SUMIF(jan!$A$1:$A$100,"CASCATA",jan!$D$1:$D$100)</f>
        <v>57</v>
      </c>
      <c r="D38" s="30">
        <f>SUMIF(fev!$A$1:$A$100,"RAIA",fev!$D$1:$D$100)+SUMIF(fev!$A$1:$A$100,"CASCATA",fev!$D$1:$D$100)</f>
        <v>58</v>
      </c>
      <c r="E38" s="30">
        <f>SUMIF(mar!$A$1:$A$100,"RAIA",mar!$D$1:$D$100)+SUMIF(mar!$A$1:$A$100,"CASCATA",mar!$D$1:$D$100)</f>
        <v>61</v>
      </c>
      <c r="F38" s="30">
        <f>SUMIF(abr!$A$1:$A$100,"RAIA",abr!$D$1:$D$100)+SUMIF(abr!$A$1:$A$100,"CASCATA",abr!$D$1:$D$100)</f>
        <v>57</v>
      </c>
      <c r="G38" s="30">
        <f>SUMIF(mai!$A$1:$A$100,"RAIA",mai!$D$1:$D$100)+SUMIF(mai!$A$1:$A$100,"CASCATA",mai!$D$1:$D$100)</f>
        <v>59</v>
      </c>
      <c r="H38" s="30">
        <f>SUMIF(jun!$A$1:$A$100,"RAIA",jun!$D$1:$D$100)+SUMIF(jun!$A$1:$A$100,"CASCATA",jun!$D$1:$D$100)</f>
        <v>62</v>
      </c>
      <c r="I38" s="30">
        <f>SUMIF(jul!$A$1:$A$100,"RAIA",jul!$D$1:$D$100)+SUMIF(jul!$A$1:$A$100,"CASCATA",jul!$D$1:$D$100)</f>
        <v>63</v>
      </c>
      <c r="J38" s="30">
        <f>SUMIF(ago!$A$1:$A$100,"RAIA",ago!$D$1:$D$100)+SUMIF(ago!$A$1:$A$100,"CASCATA",ago!$D$1:$D$100)</f>
        <v>63</v>
      </c>
      <c r="K38" s="30">
        <f>SUMIF(set!$A$1:$A$100,"RAIA",set!$D$1:$D$100)+SUMIF(set!$A$1:$A$100,"CASCATA",set!$D$1:$D$100)</f>
        <v>0</v>
      </c>
      <c r="L38" s="30">
        <f>SUMIF(out!$A$1:$A$100,"RAIA",out!$D$1:$D$100)+SUMIF(out!$A$1:$A$100,"CASCATA",out!$D$1:$D$100)</f>
        <v>0</v>
      </c>
      <c r="M38" s="30">
        <f>SUMIF(nov!$A$1:$A$100,"RAIA",nov!$D$1:$D$100)+SUMIF(nov!$A$1:$A$100,"CASCATA",nov!$D$1:$D$100)</f>
        <v>0</v>
      </c>
      <c r="N38" s="30">
        <f>SUMIF(dez!$A$1:$A$100,"RAIA",dez!$D$1:$D$100)+SUMIF(dez!$A$1:$A$100,"CASCATA",dez!$D$1:$D$100)</f>
        <v>0</v>
      </c>
      <c r="O38" s="30">
        <f t="shared" si="32"/>
        <v>176</v>
      </c>
      <c r="P38" s="30">
        <f t="shared" si="33"/>
        <v>178</v>
      </c>
      <c r="Q38" s="30">
        <f t="shared" si="34"/>
        <v>126</v>
      </c>
      <c r="R38" s="30">
        <f t="shared" si="35"/>
        <v>0</v>
      </c>
      <c r="S38" s="8"/>
      <c r="T38" s="8"/>
      <c r="U38" s="8"/>
      <c r="V38" s="8"/>
      <c r="W38" s="8"/>
      <c r="X38" s="8"/>
    </row>
    <row r="39">
      <c r="A39" s="43" t="s">
        <v>146</v>
      </c>
      <c r="B39" s="44"/>
      <c r="C39" s="30">
        <f>SUMIF(jan!$A$1:$A$100,"*AP 22",jan!$D$1:$D$100)</f>
        <v>1124</v>
      </c>
      <c r="D39" s="30">
        <f>SUMIF(fev!$A$1:$A$100,"*AP 22",fev!$D$1:$D$100)</f>
        <v>1136</v>
      </c>
      <c r="E39" s="30">
        <f>SUMIF(mar!$A$1:$A$100,"*AP 22",mar!$D$1:$D$100)</f>
        <v>1165</v>
      </c>
      <c r="F39" s="30">
        <f>SUMIF(abr!$A$1:$A$100,"*AP 22",abr!$D$1:$D$100)</f>
        <v>1167</v>
      </c>
      <c r="G39" s="30">
        <f>SUMIF(mai!$A$1:$A$100,"*AP 22",mai!$D$1:$D$100)</f>
        <v>1152</v>
      </c>
      <c r="H39" s="30">
        <f>SUMIF(jun!$A$1:$A$100,"*AP 22",jun!$D$1:$D$100)</f>
        <v>1146</v>
      </c>
      <c r="I39" s="30">
        <f>SUMIF(jul!$A$1:$A$100,"*AP 22",jul!$D$1:$D$100)</f>
        <v>1178</v>
      </c>
      <c r="J39" s="30">
        <f>SUMIF(ago!$A$1:$A$100,"*AP 22",ago!$D$1:$D$100)</f>
        <v>1207</v>
      </c>
      <c r="K39" s="30">
        <f>SUMIF(set!$A$1:$A$100,"*AP 22",set!$D$1:$D$100)</f>
        <v>0</v>
      </c>
      <c r="L39" s="30">
        <f>SUMIF(out!$A$1:$A$100,"*AP 22",out!$D$1:$D$100)</f>
        <v>0</v>
      </c>
      <c r="M39" s="30">
        <f>SUMIF(nov!$A$1:$A$100,"*AP 22",nov!$D$1:$D$100)</f>
        <v>0</v>
      </c>
      <c r="N39" s="30">
        <f>SUMIF(dez!$A$1:$A$100,"*AP 22",dez!$D$1:$D$100)</f>
        <v>0</v>
      </c>
      <c r="O39" s="30">
        <f t="shared" si="32"/>
        <v>3425</v>
      </c>
      <c r="P39" s="30">
        <f t="shared" si="33"/>
        <v>3465</v>
      </c>
      <c r="Q39" s="30">
        <f t="shared" si="34"/>
        <v>2385</v>
      </c>
      <c r="R39" s="30">
        <f t="shared" si="35"/>
        <v>0</v>
      </c>
      <c r="S39" s="8"/>
      <c r="T39" s="8"/>
      <c r="U39" s="8"/>
      <c r="V39" s="8"/>
      <c r="W39" s="8"/>
      <c r="X39" s="8"/>
    </row>
    <row r="40">
      <c r="A40" s="6"/>
      <c r="B40" s="8"/>
      <c r="C40" s="45">
        <f t="shared" ref="C40:N40" si="37">SUM(C18:C38)</f>
        <v>1124</v>
      </c>
      <c r="D40" s="45">
        <f t="shared" si="37"/>
        <v>1136</v>
      </c>
      <c r="E40" s="45">
        <f t="shared" si="37"/>
        <v>1165</v>
      </c>
      <c r="F40" s="45">
        <f t="shared" si="37"/>
        <v>1167</v>
      </c>
      <c r="G40" s="45">
        <f t="shared" si="37"/>
        <v>1152</v>
      </c>
      <c r="H40" s="45">
        <f t="shared" si="37"/>
        <v>1146</v>
      </c>
      <c r="I40" s="45">
        <f t="shared" si="37"/>
        <v>1178</v>
      </c>
      <c r="J40" s="45">
        <f t="shared" si="37"/>
        <v>1207</v>
      </c>
      <c r="K40" s="45">
        <f t="shared" si="37"/>
        <v>0</v>
      </c>
      <c r="L40" s="45">
        <f t="shared" si="37"/>
        <v>0</v>
      </c>
      <c r="M40" s="45">
        <f t="shared" si="37"/>
        <v>0</v>
      </c>
      <c r="N40" s="45">
        <f t="shared" si="37"/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3" t="s">
        <v>189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11"/>
      <c r="B42" s="12"/>
      <c r="C42" s="13" t="s">
        <v>190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15" t="s">
        <v>30</v>
      </c>
      <c r="B43" s="26"/>
      <c r="C43" s="17" t="s">
        <v>35</v>
      </c>
      <c r="D43" s="17" t="s">
        <v>38</v>
      </c>
      <c r="E43" s="17" t="s">
        <v>39</v>
      </c>
      <c r="F43" s="17" t="s">
        <v>41</v>
      </c>
      <c r="G43" s="17" t="s">
        <v>42</v>
      </c>
      <c r="H43" s="17" t="s">
        <v>43</v>
      </c>
      <c r="I43" s="17" t="s">
        <v>45</v>
      </c>
      <c r="J43" s="17" t="s">
        <v>46</v>
      </c>
      <c r="K43" s="17" t="s">
        <v>47</v>
      </c>
      <c r="L43" s="17" t="s">
        <v>49</v>
      </c>
      <c r="M43" s="17" t="s">
        <v>50</v>
      </c>
      <c r="N43" s="17" t="s">
        <v>51</v>
      </c>
      <c r="O43" s="18" t="s">
        <v>53</v>
      </c>
      <c r="P43" s="18" t="s">
        <v>55</v>
      </c>
      <c r="Q43" s="18" t="s">
        <v>56</v>
      </c>
      <c r="R43" s="18" t="s">
        <v>57</v>
      </c>
      <c r="S43" s="8"/>
      <c r="T43" s="8"/>
      <c r="U43" s="8"/>
      <c r="V43" s="8"/>
      <c r="W43" s="8"/>
      <c r="X43" s="8"/>
    </row>
    <row r="44">
      <c r="A44" s="28" t="s">
        <v>149</v>
      </c>
      <c r="B44" s="29" t="s">
        <v>150</v>
      </c>
      <c r="C44" s="30">
        <f>SUMIF(jan!$A$1:$A$100,"ADOLFO CAMINHA",jan!$B$1:$B$100)+SUMIF(jan!$A$1:$A$100,"ITORORO",jan!$B$1:$B$100)</f>
        <v>76</v>
      </c>
      <c r="D44" s="30">
        <f>SUMIF(fev!$A$1:$A$100,"ADOLFO CAMINHA",fev!$B$1:$B$100)+SUMIF(fev!$A$1:$A$100,"ITORORO",fev!$B$1:$B$100)</f>
        <v>78</v>
      </c>
      <c r="E44" s="30">
        <f>SUMIF(mar!$A$1:$A$100,"ADOLFO CAMINHA",mar!$B$1:$B$100)+SUMIF(mar!$A$1:$A$100,"ITORORO",mar!$B$1:$B$100)</f>
        <v>143</v>
      </c>
      <c r="F44" s="30">
        <f>SUMIF(abr!$A$1:$A$100,"ADOLFO CAMINHA",abr!$B$1:$B$100)+SUMIF(abr!$A$1:$A$100,"ITORORO",abr!$B$1:$B$100)</f>
        <v>143</v>
      </c>
      <c r="G44" s="30">
        <f>SUMIF(mai!$A$1:$A$100,"ADOLFO CAMINHA",mai!$B$1:$B$100)+SUMIF(mai!$A$1:$A$100,"ITORORO",mai!$B$1:$B$100)</f>
        <v>207</v>
      </c>
      <c r="H44" s="30">
        <f>SUMIF(jun!$A$1:$A$100,"ADOLFO CAMINHA",jun!$B$1:$B$100)+SUMIF(jun!$A$1:$A$100,"ITORORO",jun!$B$1:$B$100)</f>
        <v>149</v>
      </c>
      <c r="I44" s="30">
        <f>SUMIF(jul!$A$1:$A$100,"ADOLFO CAMINHA",jul!$B$1:$B$100)+SUMIF(jul!$A$1:$A$100,"ITORORO",jul!$B$1:$B$100)</f>
        <v>161</v>
      </c>
      <c r="J44" s="30">
        <f>SUMIF(ago!$A$1:$A$100,"ADOLFO CAMINHA",ago!$B$1:$B$100)+SUMIF(ago!$A$1:$A$100,"ITORORO",ago!$B$1:$B$100)</f>
        <v>167</v>
      </c>
      <c r="K44" s="30">
        <f>SUMIF(set!$A$1:$A$100,"ADOLFO CAMINHA",set!$B$1:$B$100)+SUMIF(set!$A$1:$A$100,"ITORORO",set!$B$1:$B$100)</f>
        <v>0</v>
      </c>
      <c r="L44" s="30">
        <f>SUMIF(out!$A$1:$A$100,"ADOLFO CAMINHA",out!$B$1:$B$100)+SUMIF(out!$A$1:$A$100,"ITORORO",out!$B$1:$B$100)</f>
        <v>0</v>
      </c>
      <c r="M44" s="30">
        <f>SUMIF(nov!$A$1:$A$100,"ADOLFO CAMINHA",nov!$B$1:$B$100)+SUMIF(nov!$A$1:$A$100,"ITORORO",nov!$B$1:$B$100)</f>
        <v>0</v>
      </c>
      <c r="N44" s="30">
        <f>SUMIF(dez!$A$1:$A$100,"ADOLFO CAMINHA",dez!$B$1:$B$100)+SUMIF(dez!$A$1:$A$100,"ITORORO",dez!$B$1:$B$100)</f>
        <v>0</v>
      </c>
      <c r="O44" s="30">
        <f t="shared" ref="O44:O65" si="38">C44+D44+E44</f>
        <v>297</v>
      </c>
      <c r="P44" s="30">
        <f t="shared" ref="P44:P65" si="39">F44+G44+H44</f>
        <v>499</v>
      </c>
      <c r="Q44" s="30">
        <f t="shared" ref="Q44:Q65" si="40">I44+J44+K44</f>
        <v>328</v>
      </c>
      <c r="R44" s="30">
        <f t="shared" ref="R44:R65" si="41">L44+M44+N44</f>
        <v>0</v>
      </c>
      <c r="S44" s="8"/>
      <c r="T44" s="8"/>
      <c r="U44" s="8"/>
      <c r="V44" s="8"/>
      <c r="W44" s="8"/>
      <c r="X44" s="8"/>
    </row>
    <row r="45">
      <c r="A45" s="31"/>
      <c r="B45" s="29" t="s">
        <v>151</v>
      </c>
      <c r="C45" s="30">
        <f>SUMIF(jan!$A$1:$A$100,"SANTO ESTEVAO",jan!$B$1:$B$100)+SUMIF(jan!$A$1:$A$100,"GASTAO PENALVA I",jan!$B$1:$B$100)++SUMIF(jan!$A$1:$A$100,"GASTAO PENALVA II",jan!$B$1:$B$100)</f>
        <v>142</v>
      </c>
      <c r="D45" s="30">
        <f>SUMIF(fev!$A$1:$A$100,"SANTO ESTEVAO",fev!$B$1:$B$100)+SUMIF(fev!$A$1:$A$100,"GASTAO PENALVA I",fev!$B$1:$B$100)++SUMIF(fev!$A$1:$A$100,"GASTAO PENALVA II",fev!$B$1:$B$100)</f>
        <v>143</v>
      </c>
      <c r="E45" s="30">
        <f>SUMIF(mar!$A$1:$A$100,"SANTO ESTEVAO",mar!$B$1:$B$100)+SUMIF(mar!$A$1:$A$100,"GASTAO PENALVA I",mar!$B$1:$B$100)++SUMIF(mar!$A$1:$A$100,"GASTAO PENALVA II",mar!$B$1:$B$100)</f>
        <v>166</v>
      </c>
      <c r="F45" s="30">
        <f>SUMIF(abr!$A$1:$A$100,"SANTO ESTEVAO",abr!$B$1:$B$100)+SUMIF(abr!$A$1:$A$100,"GASTAO PENALVA I",abr!$B$1:$B$100)++SUMIF(abr!$A$1:$A$100,"GASTAO PENALVA II",abr!$B$1:$B$100)</f>
        <v>165</v>
      </c>
      <c r="G45" s="30">
        <f>SUMIF(mai!$A$1:$A$100,"SANTO ESTEVAO",mai!$B$1:$B$100)+SUMIF(mai!$A$1:$A$100,"GASTAO PENALVA I",mai!$B$1:$B$100)++SUMIF(mai!$A$1:$A$100,"GASTAO PENALVA II",mai!$B$1:$B$100)</f>
        <v>163</v>
      </c>
      <c r="H45" s="30">
        <f>SUMIF(jun!$A$1:$A$100,"SANTO ESTEVAO",jun!$B$1:$B$100)+SUMIF(jun!$A$1:$A$100,"GASTAO PENALVA I",jun!$B$1:$B$100)++SUMIF(jun!$A$1:$A$100,"GASTAO PENALVA II",jun!$B$1:$B$100)</f>
        <v>170</v>
      </c>
      <c r="I45" s="30">
        <f>SUMIF(jul!$A$1:$A$100,"SANTO ESTEVAO",jul!$B$1:$B$100)+SUMIF(jul!$A$1:$A$100,"GASTAO PENALVA I",jul!$B$1:$B$100)++SUMIF(jul!$A$1:$A$100,"GASTAO PENALVA II",jul!$B$1:$B$100)</f>
        <v>167</v>
      </c>
      <c r="J45" s="30">
        <f>SUMIF(ago!$A$1:$A$100,"SANTO ESTEVAO",ago!$B$1:$B$100)+SUMIF(ago!$A$1:$A$100,"GASTAO PENALVA I",ago!$B$1:$B$100)++SUMIF(ago!$A$1:$A$100,"GASTAO PENALVA II",ago!$B$1:$B$100)</f>
        <v>170</v>
      </c>
      <c r="K45" s="30">
        <f>SUMIF(set!$A$1:$A$100,"SANTO ESTEVAO",set!$B$1:$B$100)+SUMIF(set!$A$1:$A$100,"GASTAO PENALVA I",set!$B$1:$B$100)++SUMIF(set!$A$1:$A$100,"GASTAO PENALVA II",set!$B$1:$B$100)</f>
        <v>0</v>
      </c>
      <c r="L45" s="30">
        <f>SUMIF(out!$A$1:$A$100,"SANTO ESTEVAO",out!$B$1:$B$100)+SUMIF(out!$A$1:$A$100,"GASTAO PENALVA I",out!$B$1:$B$100)++SUMIF(out!$A$1:$A$100,"GASTAO PENALVA II",out!$B$1:$B$100)</f>
        <v>0</v>
      </c>
      <c r="M45" s="30">
        <f>SUMIF(nov!$A$1:$A$100,"SANTO ESTEVAO",nov!$B$1:$B$100)+SUMIF(nov!$A$1:$A$100,"GASTAO PENALVA I",nov!$B$1:$B$100)++SUMIF(nov!$A$1:$A$100,"GASTAO PENALVA II",nov!$B$1:$B$100)</f>
        <v>0</v>
      </c>
      <c r="N45" s="30">
        <f>SUMIF(dez!$A$1:$A$100,"SANTO ESTEVAO",dez!$B$1:$B$100)+SUMIF(dez!$A$1:$A$100,"GASTAO PENALVA I",dez!$B$1:$B$100)++SUMIF(dez!$A$1:$A$100,"GASTAO PENALVA II",dez!$B$1:$B$100)</f>
        <v>0</v>
      </c>
      <c r="O45" s="30">
        <f t="shared" si="38"/>
        <v>451</v>
      </c>
      <c r="P45" s="30">
        <f t="shared" si="39"/>
        <v>498</v>
      </c>
      <c r="Q45" s="30">
        <f t="shared" si="40"/>
        <v>337</v>
      </c>
      <c r="R45" s="30">
        <f t="shared" si="41"/>
        <v>0</v>
      </c>
      <c r="S45" s="8"/>
      <c r="T45" s="8"/>
      <c r="U45" s="8"/>
      <c r="V45" s="8"/>
      <c r="W45" s="8"/>
      <c r="X45" s="8"/>
    </row>
    <row r="46">
      <c r="A46" s="31"/>
      <c r="B46" s="29" t="s">
        <v>153</v>
      </c>
      <c r="C46" s="30">
        <f>SUMIF(jan!$A$1:$A$100,"ARAXA",jan!$B$1:$B$100)+SUMIF(jan!$A$1:$A$100,"UBERABA",jan!$B$1:$B$100)</f>
        <v>130</v>
      </c>
      <c r="D46" s="30">
        <f>SUMIF(fev!$A$1:$A$100,"ARAXA",fev!$B$1:$B$100)+SUMIF(fev!$A$1:$A$100,"UBERABA",fev!$B$1:$B$100)</f>
        <v>128</v>
      </c>
      <c r="E46" s="30">
        <f>SUMIF(mar!$A$1:$A$100,"ARAXA",mar!$B$1:$B$100)+SUMIF(mar!$A$1:$A$100,"UBERABA",mar!$B$1:$B$100)</f>
        <v>126</v>
      </c>
      <c r="F46" s="30">
        <f>SUMIF(abr!$A$1:$A$100,"ARAXA",abr!$B$1:$B$100)+SUMIF(abr!$A$1:$A$100,"UBERABA",abr!$B$1:$B$100)</f>
        <v>128</v>
      </c>
      <c r="G46" s="30">
        <f>SUMIF(mai!$A$1:$A$100,"ARAXA",mai!$B$1:$B$100)+SUMIF(mai!$A$1:$A$100,"UBERABA",mai!$B$1:$B$100)</f>
        <v>136</v>
      </c>
      <c r="H46" s="30">
        <f>SUMIF(jun!$A$1:$A$100,"ARAXA",jun!$B$1:$B$100)+SUMIF(jun!$A$1:$A$100,"UBERABA",jun!$B$1:$B$100)</f>
        <v>140</v>
      </c>
      <c r="I46" s="30">
        <f>SUMIF(jul!$A$1:$A$100,"ARAXA",jul!$B$1:$B$100)+SUMIF(jul!$A$1:$A$100,"UBERABA",jul!$B$1:$B$100)</f>
        <v>136</v>
      </c>
      <c r="J46" s="30">
        <f>SUMIF(ago!$A$1:$A$100,"ARAXA",ago!$B$1:$B$100)+SUMIF(ago!$A$1:$A$100,"UBERABA",ago!$B$1:$B$100)</f>
        <v>138</v>
      </c>
      <c r="K46" s="30">
        <f>SUMIF(set!$A$1:$A$100,"ARAXA",set!$B$1:$B$100)+SUMIF(set!$A$1:$A$100,"UBERABA",set!$B$1:$B$100)</f>
        <v>0</v>
      </c>
      <c r="L46" s="30">
        <f>SUMIF(out!$A$1:$A$100,"ARAXA",out!$B$1:$B$100)+SUMIF(out!$A$1:$A$100,"UBERABA",out!$B$1:$B$100)</f>
        <v>0</v>
      </c>
      <c r="M46" s="30">
        <f>SUMIF(nov!$A$1:$A$100,"ARAXA",nov!$B$1:$B$100)+SUMIF(nov!$A$1:$A$100,"UBERABA",nov!$B$1:$B$100)</f>
        <v>0</v>
      </c>
      <c r="N46" s="30">
        <f>SUMIF(dez!$A$1:$A$100,"ARAXA",dez!$B$1:$B$100)+SUMIF(dez!$A$1:$A$100,"UBERABA",dez!$B$1:$B$100)</f>
        <v>0</v>
      </c>
      <c r="O46" s="30">
        <f t="shared" si="38"/>
        <v>384</v>
      </c>
      <c r="P46" s="30">
        <f t="shared" si="39"/>
        <v>404</v>
      </c>
      <c r="Q46" s="30">
        <f t="shared" si="40"/>
        <v>274</v>
      </c>
      <c r="R46" s="30">
        <f t="shared" si="41"/>
        <v>0</v>
      </c>
      <c r="S46" s="8"/>
      <c r="T46" s="8"/>
      <c r="U46" s="8"/>
      <c r="V46" s="8"/>
      <c r="W46" s="8"/>
      <c r="X46" s="8"/>
    </row>
    <row r="47">
      <c r="A47" s="32"/>
      <c r="B47" s="29" t="s">
        <v>155</v>
      </c>
      <c r="C47" s="30">
        <f>SUMIF(jan!$A$1:$A$100,"FURNAS",jan!$B$1:$B$100)+SUMIF(jan!$A$1:$A$100,"ESPERANCA",jan!$B$1:$B$100)</f>
        <v>123</v>
      </c>
      <c r="D47" s="30">
        <f>SUMIF(fev!$A$1:$A$100,"FURNAS",fev!$B$1:$B$100)+SUMIF(fev!$A$1:$A$100,"ESPERANCA",fev!$B$1:$B$100)</f>
        <v>124</v>
      </c>
      <c r="E47" s="30">
        <f>SUMIF(mar!$A$1:$A$100,"FURNAS",mar!$B$1:$B$100)+SUMIF(mar!$A$1:$A$100,"ESPERANCA",mar!$B$1:$B$100)</f>
        <v>121</v>
      </c>
      <c r="F47" s="30">
        <f>SUMIF(abr!$A$1:$A$100,"FURNAS",abr!$B$1:$B$100)+SUMIF(abr!$A$1:$A$100,"ESPERANCA",abr!$B$1:$B$100)</f>
        <v>118</v>
      </c>
      <c r="G47" s="30">
        <f>SUMIF(mai!$A$1:$A$100,"FURNAS",mai!$B$1:$B$100)+SUMIF(mai!$A$1:$A$100,"ESPERANCA",mai!$B$1:$B$100)</f>
        <v>120</v>
      </c>
      <c r="H47" s="30">
        <f>SUMIF(jun!$A$1:$A$100,"FURNAS",jun!$B$1:$B$100)+SUMIF(jun!$A$1:$A$100,"ESPERANCA",jun!$B$1:$B$100)</f>
        <v>126</v>
      </c>
      <c r="I47" s="30">
        <f>SUMIF(jul!$A$1:$A$100,"FURNAS",jul!$B$1:$B$100)+SUMIF(jul!$A$1:$A$100,"ESPERANCA",jul!$B$1:$B$100)</f>
        <v>132</v>
      </c>
      <c r="J47" s="30">
        <f>SUMIF(ago!$A$1:$A$100,"FURNAS",ago!$B$1:$B$100)+SUMIF(ago!$A$1:$A$100,"ESPERANCA",ago!$B$1:$B$100)</f>
        <v>139</v>
      </c>
      <c r="K47" s="30">
        <f>SUMIF(set!$A$1:$A$100,"FURNAS",set!$B$1:$B$100)+SUMIF(set!$A$1:$A$100,"ESPERANCA",set!$B$1:$B$100)</f>
        <v>0</v>
      </c>
      <c r="L47" s="30">
        <f>SUMIF(out!$A$1:$A$100,"FURNAS",out!$B$1:$B$100)+SUMIF(out!$A$1:$A$100,"ESPERANCA",out!$B$1:$B$100)</f>
        <v>0</v>
      </c>
      <c r="M47" s="30">
        <f>SUMIF(nov!$A$1:$A$100,"FURNAS",nov!$B$1:$B$100)+SUMIF(nov!$A$1:$A$100,"ESPERANCA",nov!$B$1:$B$100)</f>
        <v>0</v>
      </c>
      <c r="N47" s="30">
        <f>SUMIF(dez!$A$1:$A$100,"FURNAS",dez!$B$1:$B$100)+SUMIF(dez!$A$1:$A$100,"ESPERANCA",dez!$B$1:$B$100)</f>
        <v>0</v>
      </c>
      <c r="O47" s="30">
        <f t="shared" si="38"/>
        <v>368</v>
      </c>
      <c r="P47" s="30">
        <f t="shared" si="39"/>
        <v>364</v>
      </c>
      <c r="Q47" s="30">
        <f t="shared" si="40"/>
        <v>271</v>
      </c>
      <c r="R47" s="30">
        <f t="shared" si="41"/>
        <v>0</v>
      </c>
      <c r="S47" s="8"/>
      <c r="T47" s="8"/>
      <c r="U47" s="8"/>
      <c r="V47" s="8"/>
      <c r="W47" s="8"/>
      <c r="X47" s="8"/>
    </row>
    <row r="48">
      <c r="A48" s="33" t="s">
        <v>157</v>
      </c>
      <c r="B48" s="29" t="s">
        <v>158</v>
      </c>
      <c r="C48" s="30">
        <f>SUMIF(jan!$A$1:$A$100,"POPULAR",jan!$B$1:$B$100)+SUMIF(jan!$A$1:$A$100,"CARUARU",jan!$B$1:$B$100)</f>
        <v>170</v>
      </c>
      <c r="D48" s="30">
        <f>SUMIF(fev!$A$1:$A$100,"POPULAR",fev!$B$1:$B$100)+SUMIF(fev!$A$1:$A$100,"CARUARU",fev!$B$1:$B$100)</f>
        <v>171</v>
      </c>
      <c r="E48" s="30">
        <f>SUMIF(mar!$A$1:$A$100,"POPULAR",mar!$B$1:$B$100)+SUMIF(mar!$A$1:$A$100,"CARUARU",mar!$B$1:$B$100)</f>
        <v>173</v>
      </c>
      <c r="F48" s="30">
        <f>SUMIF(abr!$A$1:$A$100,"POPULAR",abr!$B$1:$B$100)+SUMIF(abr!$A$1:$A$100,"CARUARU",abr!$B$1:$B$100)</f>
        <v>173</v>
      </c>
      <c r="G48" s="30">
        <f>SUMIF(mai!$A$1:$A$100,"POPULAR",mai!$B$1:$B$100)+SUMIF(mai!$A$1:$A$100,"CARUARU",mai!$B$1:$B$100)</f>
        <v>179</v>
      </c>
      <c r="H48" s="30">
        <f>SUMIF(jun!$A$1:$A$100,"POPULAR",jun!$B$1:$B$100)+SUMIF(jun!$A$1:$A$100,"CARUARU",jun!$B$1:$B$100)</f>
        <v>180</v>
      </c>
      <c r="I48" s="30">
        <f>SUMIF(jul!$A$1:$A$100,"POPULAR",jul!$B$1:$B$100)+SUMIF(jul!$A$1:$A$100,"CARUARU",jul!$B$1:$B$100)</f>
        <v>177</v>
      </c>
      <c r="J48" s="30">
        <f>SUMIF(ago!$A$1:$A$100,"POPULAR",ago!$B$1:$B$100)+SUMIF(ago!$A$1:$A$100,"CARUARU",ago!$B$1:$B$100)</f>
        <v>188</v>
      </c>
      <c r="K48" s="30">
        <f>SUMIF(set!$A$1:$A$100,"POPULAR",set!$B$1:$B$100)+SUMIF(set!$A$1:$A$100,"CARUARU",set!$B$1:$B$100)</f>
        <v>0</v>
      </c>
      <c r="L48" s="30">
        <f>SUMIF(out!$A$1:$A$100,"POPULAR",out!$B$1:$B$100)+SUMIF(out!$A$1:$A$100,"CARUARU",out!$B$1:$B$100)</f>
        <v>0</v>
      </c>
      <c r="M48" s="30">
        <f>SUMIF(nov!$A$1:$A$100,"POPULAR",nov!$B$1:$B$100)+SUMIF(nov!$A$1:$A$100,"CARUARU",nov!$B$1:$B$100)</f>
        <v>0</v>
      </c>
      <c r="N48" s="30">
        <f>SUMIF(dez!$A$1:$A$100,"POPULAR",dez!$B$1:$B$100)+SUMIF(dez!$A$1:$A$100,"CARUARU",dez!$B$1:$B$100)</f>
        <v>0</v>
      </c>
      <c r="O48" s="30">
        <f t="shared" si="38"/>
        <v>514</v>
      </c>
      <c r="P48" s="30">
        <f t="shared" si="39"/>
        <v>532</v>
      </c>
      <c r="Q48" s="30">
        <f t="shared" si="40"/>
        <v>365</v>
      </c>
      <c r="R48" s="30">
        <f t="shared" si="41"/>
        <v>0</v>
      </c>
      <c r="S48" s="8"/>
      <c r="T48" s="8"/>
      <c r="U48" s="8"/>
      <c r="V48" s="8"/>
      <c r="W48" s="8"/>
      <c r="X48" s="8"/>
    </row>
    <row r="49">
      <c r="A49" s="32"/>
      <c r="B49" s="29" t="s">
        <v>166</v>
      </c>
      <c r="C49" s="30">
        <f>SUMIF(jan!$A$1:$A$100,"MARTINHO DA VILA",jan!$B$1:$B$100)+SUMIF(jan!$A$1:$A$100,"NOEL ROSA",jan!$B$1:$B$100)</f>
        <v>158</v>
      </c>
      <c r="D49" s="30">
        <f>SUMIF(fev!$A$1:$A$100,"MARTINHO DA VILA",fev!$B$1:$B$100)+SUMIF(fev!$A$1:$A$100,"NOEL ROSA",fev!$B$1:$B$100)</f>
        <v>166</v>
      </c>
      <c r="E49" s="30">
        <f>SUMIF(mar!$A$1:$A$100,"MARTINHO DA VILA",mar!$B$1:$B$100)+SUMIF(mar!$A$1:$A$100,"NOEL ROSA",mar!$B$1:$B$100)</f>
        <v>166</v>
      </c>
      <c r="F49" s="30">
        <f>SUMIF(abr!$A$1:$A$100,"MARTINHO DA VILA",abr!$B$1:$B$100)+SUMIF(abr!$A$1:$A$100,"NOEL ROSA",abr!$B$1:$B$100)</f>
        <v>170</v>
      </c>
      <c r="G49" s="30">
        <f>SUMIF(mai!$A$1:$A$100,"MARTINHO DA VILA",mai!$B$1:$B$100)+SUMIF(mai!$A$1:$A$100,"NOEL ROSA",mai!$B$1:$B$100)</f>
        <v>164</v>
      </c>
      <c r="H49" s="30">
        <f>SUMIF(jun!$A$1:$A$100,"MARTINHO DA VILA",jun!$B$1:$B$100)+SUMIF(jun!$A$1:$A$100,"NOEL ROSA",jun!$B$1:$B$100)</f>
        <v>168</v>
      </c>
      <c r="I49" s="30">
        <f>SUMIF(jul!$A$1:$A$100,"MARTINHO DA VILA",jul!$B$1:$B$100)+SUMIF(jul!$A$1:$A$100,"NOEL ROSA",jul!$B$1:$B$100)</f>
        <v>164</v>
      </c>
      <c r="J49" s="30">
        <f>SUMIF(ago!$A$1:$A$100,"MARTINHO DA VILA",ago!$B$1:$B$100)+SUMIF(ago!$A$1:$A$100,"NOEL ROSA",ago!$B$1:$B$100)</f>
        <v>166</v>
      </c>
      <c r="K49" s="30">
        <f>SUMIF(set!$A$1:$A$100,"MARTINHO DA VILA",set!$B$1:$B$100)+SUMIF(set!$A$1:$A$100,"NOEL ROSA",set!$B$1:$B$100)</f>
        <v>0</v>
      </c>
      <c r="L49" s="30">
        <f>SUMIF(out!$A$1:$A$100,"MARTINHO DA VILA",out!$B$1:$B$100)+SUMIF(out!$A$1:$A$100,"NOEL ROSA",out!$B$1:$B$100)</f>
        <v>0</v>
      </c>
      <c r="M49" s="30">
        <f>SUMIF(nov!$A$1:$A$100,"MARTINHO DA VILA",nov!$B$1:$B$100)+SUMIF(nov!$A$1:$A$100,"NOEL ROSA",nov!$B$1:$B$100)</f>
        <v>0</v>
      </c>
      <c r="N49" s="30">
        <f>SUMIF(dez!$A$1:$A$100,"MARTINHO DA VILA",dez!$B$1:$B$100)+SUMIF(dez!$A$1:$A$100,"NOEL ROSA",dez!$B$1:$B$100)</f>
        <v>0</v>
      </c>
      <c r="O49" s="30">
        <f t="shared" si="38"/>
        <v>490</v>
      </c>
      <c r="P49" s="30">
        <f t="shared" si="39"/>
        <v>502</v>
      </c>
      <c r="Q49" s="30">
        <f t="shared" si="40"/>
        <v>330</v>
      </c>
      <c r="R49" s="30">
        <f t="shared" si="41"/>
        <v>0</v>
      </c>
      <c r="S49" s="8"/>
      <c r="T49" s="8"/>
      <c r="U49" s="8"/>
      <c r="V49" s="8"/>
      <c r="W49" s="8"/>
      <c r="X49" s="8"/>
    </row>
    <row r="50">
      <c r="A50" s="33" t="s">
        <v>167</v>
      </c>
      <c r="B50" s="29" t="s">
        <v>168</v>
      </c>
      <c r="C50" s="30">
        <f>SUMIF(jan!$A$1:$A$100,"LADEIRA DO MOREIRA",jan!$B$1:$B$100)/2+SUMIF(jan!$A$1:$A$100,"TERREIRAO",jan!$B$1:$B$100)</f>
        <v>188</v>
      </c>
      <c r="D50" s="30">
        <f>SUMIF(fev!$A$1:$A$100,"LADEIRA DO MOREIRA",fev!$B$1:$B$100)/2+SUMIF(fev!$A$1:$A$100,"TERREIRAO",fev!$B$1:$B$100)</f>
        <v>194</v>
      </c>
      <c r="E50" s="30">
        <f>SUMIF(mar!$A$1:$A$100,"LADEIRA DO MOREIRA",mar!$B$1:$B$100)/2+SUMIF(mar!$A$1:$A$100,"TERREIRAO",mar!$B$1:$B$100)</f>
        <v>195</v>
      </c>
      <c r="F50" s="30">
        <f>SUMIF(abr!$A$1:$A$100,"LADEIRA DO MOREIRA",abr!$B$1:$B$100)/2+SUMIF(abr!$A$1:$A$100,"TERREIRAO",abr!$B$1:$B$100)</f>
        <v>197.5</v>
      </c>
      <c r="G50" s="30">
        <f>SUMIF(mai!$A$1:$A$100,"LADEIRA DO MOREIRA",mai!$B$1:$B$100)/2+SUMIF(mai!$A$1:$A$100,"TERREIRAO",mai!$B$1:$B$100)</f>
        <v>197</v>
      </c>
      <c r="H50" s="30">
        <f>SUMIF(jun!$A$1:$A$100,"LADEIRA DO MOREIRA",jun!$B$1:$B$100)/2+SUMIF(jun!$A$1:$A$100,"TERREIRAO",jun!$B$1:$B$100)</f>
        <v>197</v>
      </c>
      <c r="I50" s="30">
        <f>SUMIF(jul!$A$1:$A$100,"LADEIRA DO MOREIRA",jul!$B$1:$B$100)/2+SUMIF(jul!$A$1:$A$100,"TERREIRAO",jul!$B$1:$B$100)</f>
        <v>191.5</v>
      </c>
      <c r="J50" s="30">
        <f>SUMIF(ago!$A$1:$A$100,"LADEIRA DO MOREIRA",ago!$B$1:$B$100)/2+SUMIF(ago!$A$1:$A$100,"TERREIRAO",ago!$B$1:$B$100)</f>
        <v>196</v>
      </c>
      <c r="K50" s="30">
        <f>SUMIF(set!$A$1:$A$100,"LADEIRA DO MOREIRA",set!$B$1:$B$100)/2+SUMIF(set!$A$1:$A$100,"TERREIRAO",set!$B$1:$B$100)</f>
        <v>0</v>
      </c>
      <c r="L50" s="30">
        <f>SUMIF(out!$A$1:$A$100,"LADEIRA DO MOREIRA",out!$B$1:$B$100)/2+SUMIF(out!$A$1:$A$100,"TERREIRAO",out!$B$1:$B$100)</f>
        <v>0</v>
      </c>
      <c r="M50" s="30">
        <f>SUMIF(nov!$A$1:$A$100,"LADEIRA DO MOREIRA",nov!$B$1:$B$100)/2+SUMIF(nov!$A$1:$A$100,"TERREIRAO",nov!$B$1:$B$100)</f>
        <v>0</v>
      </c>
      <c r="N50" s="30">
        <f>SUMIF(dez!$A$1:$A$100,"LADEIRA DO MOREIRA",dez!$B$1:$B$100)/2+SUMIF(dez!$A$1:$A$100,"TERREIRAO",dez!$B$1:$B$100)</f>
        <v>0</v>
      </c>
      <c r="O50" s="30">
        <f t="shared" si="38"/>
        <v>577</v>
      </c>
      <c r="P50" s="30">
        <f t="shared" si="39"/>
        <v>591.5</v>
      </c>
      <c r="Q50" s="30">
        <f t="shared" si="40"/>
        <v>387.5</v>
      </c>
      <c r="R50" s="30">
        <f t="shared" si="41"/>
        <v>0</v>
      </c>
      <c r="S50" s="8"/>
      <c r="T50" s="8"/>
      <c r="U50" s="8"/>
      <c r="V50" s="8"/>
      <c r="W50" s="8"/>
      <c r="X50" s="8"/>
    </row>
    <row r="51">
      <c r="A51" s="32"/>
      <c r="B51" s="29" t="s">
        <v>169</v>
      </c>
      <c r="C51" s="30">
        <f>SUMIF(jan!$A$1:$A$100,"LADEIRA DO MOREIRA",jan!$B$1:$B$100)/2+SUMIF(jan!$A$1:$A$100,"SEMENTE",jan!$B$1:$B$100)</f>
        <v>241</v>
      </c>
      <c r="D51" s="30">
        <f>SUMIF(fev!$A$1:$A$100,"LADEIRA DO MOREIRA",fev!$B$1:$B$100)/2+SUMIF(fev!$A$1:$A$100,"SEMENTE",fev!$B$1:$B$100)</f>
        <v>249</v>
      </c>
      <c r="E51" s="30">
        <f>SUMIF(mar!$A$1:$A$100,"LADEIRA DO MOREIRA",mar!$B$1:$B$100)/2+SUMIF(mar!$A$1:$A$100,"SEMENTE",mar!$B$1:$B$100)</f>
        <v>254</v>
      </c>
      <c r="F51" s="30">
        <f>SUMIF(abr!$A$1:$A$100,"LADEIRA DO MOREIRA",abr!$B$1:$B$100)/2+SUMIF(abr!$A$1:$A$100,"SEMENTE",abr!$B$1:$B$100)</f>
        <v>255.5</v>
      </c>
      <c r="G51" s="30">
        <f>SUMIF(mai!$A$1:$A$100,"LADEIRA DO MOREIRA",mai!$B$1:$B$100)/2+SUMIF(mai!$A$1:$A$100,"SEMENTE",mai!$B$1:$B$100)</f>
        <v>259</v>
      </c>
      <c r="H51" s="30">
        <f>SUMIF(jun!$A$1:$A$100,"LADEIRA DO MOREIRA",jun!$B$1:$B$100)/2+SUMIF(jun!$A$1:$A$100,"SEMENTE",jun!$B$1:$B$100)</f>
        <v>265</v>
      </c>
      <c r="I51" s="30">
        <f>SUMIF(jul!$A$1:$A$100,"LADEIRA DO MOREIRA",jul!$B$1:$B$100)/2+SUMIF(jul!$A$1:$A$100,"SEMENTE",jul!$B$1:$B$100)</f>
        <v>268.5</v>
      </c>
      <c r="J51" s="30">
        <f>SUMIF(ago!$A$1:$A$100,"LADEIRA DO MOREIRA",ago!$B$1:$B$100)/2+SUMIF(ago!$A$1:$A$100,"SEMENTE",ago!$B$1:$B$100)</f>
        <v>275</v>
      </c>
      <c r="K51" s="30">
        <f>SUMIF(set!$A$1:$A$100,"LADEIRA DO MOREIRA",set!$B$1:$B$100)/2+SUMIF(set!$A$1:$A$100,"SEMENTE",set!$B$1:$B$100)</f>
        <v>0</v>
      </c>
      <c r="L51" s="30">
        <f>SUMIF(out!$A$1:$A$100,"LADEIRA DO MOREIRA",out!$B$1:$B$100)/2+SUMIF(out!$A$1:$A$100,"SEMENTE",out!$B$1:$B$100)</f>
        <v>0</v>
      </c>
      <c r="M51" s="30">
        <f>SUMIF(nov!$A$1:$A$100,"LADEIRA DO MOREIRA",nov!$B$1:$B$100)/2+SUMIF(nov!$A$1:$A$100,"SEMENTE",nov!$B$1:$B$100)</f>
        <v>0</v>
      </c>
      <c r="N51" s="30">
        <f>SUMIF(dez!$A$1:$A$100,"LADEIRA DO MOREIRA",dez!$B$1:$B$100)/2+SUMIF(dez!$A$1:$A$100,"SEMENTE",dez!$B$1:$B$100)</f>
        <v>0</v>
      </c>
      <c r="O51" s="30">
        <f t="shared" si="38"/>
        <v>744</v>
      </c>
      <c r="P51" s="30">
        <f t="shared" si="39"/>
        <v>779.5</v>
      </c>
      <c r="Q51" s="30">
        <f t="shared" si="40"/>
        <v>543.5</v>
      </c>
      <c r="R51" s="30">
        <f t="shared" si="41"/>
        <v>0</v>
      </c>
      <c r="S51" s="8"/>
      <c r="T51" s="8"/>
      <c r="U51" s="8"/>
      <c r="V51" s="8"/>
      <c r="W51" s="8"/>
      <c r="X51" s="8"/>
    </row>
    <row r="52">
      <c r="A52" s="36" t="s">
        <v>170</v>
      </c>
      <c r="B52" s="29" t="s">
        <v>171</v>
      </c>
      <c r="C52" s="30">
        <f>SUMIF(jan!$A$1:$A$100,"CASA BRANCA",jan!$B$1:$B$100)+SUMIF(jan!$A$1:$A$100,"CHACARA DO CEU",jan!$B$1:$B$100)</f>
        <v>155</v>
      </c>
      <c r="D52" s="30">
        <f>SUMIF(fev!$A$1:$A$100,"CASA BRANCA",fev!$B$1:$B$100)+SUMIF(fev!$A$1:$A$100,"CHACARA DO CEU",fev!$B$1:$B$100)</f>
        <v>155</v>
      </c>
      <c r="E52" s="30">
        <f>SUMIF(mar!$A$1:$A$100,"CASA BRANCA",mar!$B$1:$B$100)+SUMIF(mar!$A$1:$A$100,"CHACARA DO CEU",mar!$B$1:$B$100)</f>
        <v>159</v>
      </c>
      <c r="F52" s="30">
        <f>SUMIF(abr!$A$1:$A$100,"CASA BRANCA",abr!$B$1:$B$100)+SUMIF(abr!$A$1:$A$100,"CHACARA DO CEU",abr!$B$1:$B$100)</f>
        <v>165</v>
      </c>
      <c r="G52" s="30">
        <f>SUMIF(mai!$A$1:$A$100,"CASA BRANCA",mai!$B$1:$B$100)+SUMIF(mai!$A$1:$A$100,"CHACARA DO CEU",mai!$B$1:$B$100)</f>
        <v>162</v>
      </c>
      <c r="H52" s="30">
        <f>SUMIF(jun!$A$1:$A$100,"CASA BRANCA",jun!$B$1:$B$100)+SUMIF(jun!$A$1:$A$100,"CHACARA DO CEU",jun!$B$1:$B$100)</f>
        <v>168</v>
      </c>
      <c r="I52" s="30">
        <f>SUMIF(jul!$A$1:$A$100,"CASA BRANCA",jul!$B$1:$B$100)+SUMIF(jul!$A$1:$A$100,"CHACARA DO CEU",jul!$B$1:$B$100)</f>
        <v>168</v>
      </c>
      <c r="J52" s="30">
        <f>SUMIF(ago!$A$1:$A$100,"CASA BRANCA",ago!$B$1:$B$100)+SUMIF(ago!$A$1:$A$100,"CHACARA DO CEU",ago!$B$1:$B$100)</f>
        <v>170</v>
      </c>
      <c r="K52" s="30">
        <f>SUMIF(set!$A$1:$A$100,"CASA BRANCA",set!$B$1:$B$100)+SUMIF(set!$A$1:$A$100,"CHACARA DO CEU",set!$B$1:$B$100)</f>
        <v>0</v>
      </c>
      <c r="L52" s="30">
        <f>SUMIF(out!$A$1:$A$100,"CASA BRANCA",out!$B$1:$B$100)+SUMIF(out!$A$1:$A$100,"CHACARA DO CEU",out!$B$1:$B$100)</f>
        <v>0</v>
      </c>
      <c r="M52" s="30">
        <f>SUMIF(nov!$A$1:$A$100,"CASA BRANCA",nov!$B$1:$B$100)+SUMIF(nov!$A$1:$A$100,"CHACARA DO CEU",nov!$B$1:$B$100)</f>
        <v>0</v>
      </c>
      <c r="N52" s="30">
        <f>SUMIF(dez!$A$1:$A$100,"CASA BRANCA",dez!$B$1:$B$100)+SUMIF(dez!$A$1:$A$100,"CHACARA DO CEU",dez!$B$1:$B$100)</f>
        <v>0</v>
      </c>
      <c r="O52" s="30">
        <f t="shared" si="38"/>
        <v>469</v>
      </c>
      <c r="P52" s="30">
        <f t="shared" si="39"/>
        <v>495</v>
      </c>
      <c r="Q52" s="30">
        <f t="shared" si="40"/>
        <v>338</v>
      </c>
      <c r="R52" s="30">
        <f t="shared" si="41"/>
        <v>0</v>
      </c>
      <c r="S52" s="8"/>
      <c r="T52" s="8"/>
      <c r="U52" s="8"/>
      <c r="V52" s="8"/>
      <c r="W52" s="8"/>
      <c r="X52" s="8"/>
    </row>
    <row r="53">
      <c r="A53" s="37" t="s">
        <v>172</v>
      </c>
      <c r="B53" s="29" t="s">
        <v>173</v>
      </c>
      <c r="C53" s="30">
        <f>SUMIF(jan!$A$1:$A$94,"SALGUEIRO",jan!$B$1:$B$94)+SUMIF(jan!$A$1:$A$94,"PRACA VARNHAGEM",jan!$B$1:$B$94)+SUMIF(jan!$A$1:$A$94,"RAIZES DO SALGUEIRO ESF",jan!$B$1:$B$94)</f>
        <v>393</v>
      </c>
      <c r="D53" s="30">
        <f>SUMIF(fev!$A$1:$A$100,"SALGUEIRO",fev!$B$1:$B$100)+SUMIF(fev!$A$1:$A$100,"PRACA VARNHAGEM",fev!$B$1:$B$100)+SUMIF(fev!$A$1:$A$100,"RAIZES DO SALGUEIRO ESF",fev!$B$1:$B$100)</f>
        <v>397</v>
      </c>
      <c r="E53" s="30">
        <f>SUMIF(mar!$A$1:$A$100,"SALGUEIRO",mar!$B$1:$B$100)+SUMIF(mar!$A$1:$A$100,"PRACA VARNHAGEM",mar!$B$1:$B$100)+SUMIF(mar!$A$1:$A$100,"RAIZES DO SALGUEIRO ESF",mar!$B$1:$B$100)</f>
        <v>396</v>
      </c>
      <c r="F53" s="30">
        <f>SUMIF(abr!$A$1:$A$100,"SALGUEIRO",abr!$B$1:$B$100)+SUMIF(abr!$A$1:$A$100,"PRACA VARNHAGEM",abr!$B$1:$B$100)+SUMIF(abr!$A$1:$A$100,"RAIZES DO SALGUEIRO ESF",abr!$B$1:$B$100)</f>
        <v>402</v>
      </c>
      <c r="G53" s="30">
        <f>SUMIF(mai!$A$1:$A$100,"SALGUEIRO",mai!$B$1:$B$100)+SUMIF(mai!$A$1:$A$100,"PRACA VARNHAGEM",mai!$B$1:$B$100)+SUMIF(mai!$A$1:$A$100,"RAIZES DO SALGUEIRO ESF",mai!$B$1:$B$100)</f>
        <v>405</v>
      </c>
      <c r="H53" s="30">
        <f>SUMIF(jun!$A$1:$A$100,"SALGUEIRO",jun!$B$1:$B$100)+SUMIF(jun!$A$1:$A$100,"PRACA VARNHAGEM",jun!$B$1:$B$100)+SUMIF(jun!$A$1:$A$100,"RAIZES DO SALGUEIRO ESF",jun!$B$1:$B$100)</f>
        <v>409</v>
      </c>
      <c r="I53" s="30">
        <f>SUMIF(jul!$A$1:$A$100,"SALGUEIRO",jul!$B$1:$B$100)+SUMIF(jul!$A$1:$A$100,"PRACA VARNHAGEM",jul!$B$1:$B$100)+SUMIF(jul!$A$1:$A$100,"RAIZES DO SALGUEIRO ESF",jul!$B$1:$B$100)</f>
        <v>410</v>
      </c>
      <c r="J53" s="30">
        <f>SUMIF(ago!$A$1:$A$100,"SALGUEIRO",ago!$B$1:$B$100)+SUMIF(ago!$A$1:$A$100,"PRACA VARNHAGEM",ago!$B$1:$B$100)+SUMIF(ago!$A$1:$A$100,"RAIZES DO SALGUEIRO ESF",ago!$B$1:$B$100)</f>
        <v>404</v>
      </c>
      <c r="K53" s="30">
        <f>SUMIF(set!$A$1:$A$100,"SALGUEIRO",set!$B$1:$B$100)+SUMIF(set!$A$1:$A$100,"PRACA VARNHAGEM",set!$B$1:$B$100)+SUMIF(set!$A$1:$A$100,"RAIZES DO SALGUEIRO ESF",set!$B$1:$B$100)</f>
        <v>0</v>
      </c>
      <c r="L53" s="30">
        <f>SUMIF(out!$A$1:$A$100,"SALGUEIRO",out!$B$1:$B$100)+SUMIF(out!$A$1:$A$100,"PRACA VARNHAGEM",out!$B$1:$B$100)+SUMIF(out!$A$1:$A$100,"RAIZES DO SALGUEIRO ESF",out!$B$1:$B$100)</f>
        <v>0</v>
      </c>
      <c r="M53" s="30">
        <f>SUMIF(nov!$A$1:$A$100,"SALGUEIRO",nov!$B$1:$B$100)+SUMIF(nov!$A$1:$A$100,"PRACA VARNHAGEM",nov!$B$1:$B$100)+SUMIF(nov!$A$1:$A$100,"RAIZES DO SALGUEIRO ESF",nov!$B$1:$B$100)</f>
        <v>0</v>
      </c>
      <c r="N53" s="30">
        <f>SUMIF(dez!$A$1:$A$100,"SALGUEIRO",dez!$B$1:$B$100)+SUMIF(dez!$A$1:$A$100,"PRACA VARNHAGEM",dez!$B$1:$B$100)+SUMIF(dez!$A$1:$A$100,"RAIZES DO SALGUEIRO ESF",dez!$B$1:$B$100)</f>
        <v>0</v>
      </c>
      <c r="O53" s="30">
        <f t="shared" si="38"/>
        <v>1186</v>
      </c>
      <c r="P53" s="30">
        <f t="shared" si="39"/>
        <v>1216</v>
      </c>
      <c r="Q53" s="30">
        <f t="shared" si="40"/>
        <v>814</v>
      </c>
      <c r="R53" s="30">
        <f t="shared" si="41"/>
        <v>0</v>
      </c>
      <c r="S53" s="38">
        <f t="shared" ref="S53:S56" si="42">C53+D53+E53</f>
        <v>1186</v>
      </c>
      <c r="T53" s="39"/>
      <c r="U53" s="39"/>
      <c r="V53" s="39"/>
      <c r="W53" s="40"/>
      <c r="X53" s="40"/>
      <c r="Y53" s="40"/>
    </row>
    <row r="54">
      <c r="A54" s="31"/>
      <c r="B54" s="29" t="s">
        <v>174</v>
      </c>
      <c r="C54" s="30">
        <f>SUMIF(jan!$A$1:$A$94,"BARAO DE PIRASSINUNGA",jan!$B$1:$B$94)+SUMIF(jan!$A$1:$A$94,"ANTONIO BASILIO ESF",jan!$B$1:$B$94)+SUMIF(jan!$A$1:$A$94,"SANTA SOFIA",jan!$B$1:$B$94)+SUMIF(jan!$A$1:$A$94,"SAO FRANCISCO I",jan!$B$1:$B$94)+SUMIF(jan!$A$1:$A$94,"SAO FRANCISCO II",jan!$B$1:$B$94)+SUMIF(jan!$A$1:$A$94,"SAO FRANCISCO III",jan!$B$1:$B$94)</f>
        <v>208</v>
      </c>
      <c r="D54" s="30">
        <f>SUMIF(fev!$A$1:$A$100,"BARAO DE PIRASSINUNGA",fev!$B$1:$B$100)+SUMIF(fev!$A$1:$A$100,"ANTONIO BASILIO ESF",fev!$B$1:$B$100)+SUMIF(fev!$A$1:$A$100,"SANTA SOFIA",fev!$B$1:$B$100)+SUMIF(fev!$A$1:$A$100,"SAO FRANCISCO I **",fev!$B$1:$B$100)</f>
        <v>209</v>
      </c>
      <c r="E54" s="30">
        <f>SUMIF(mar!$A$1:$A$100,"BARAO DE PIRASSINUNGA",mar!$B$1:$B$100)+SUMIF(mar!$A$1:$A$100,"ANTONIO BASILIO ESF",mar!$B$1:$B$100)+SUMIF(mar!$A$1:$A$100,"SANTA SOFIA",mar!$B$1:$B$100)+SUMIF(mar!$A$1:$A$100,"SAO FRANCISCO I **",mar!$B$1:$B$100)</f>
        <v>204</v>
      </c>
      <c r="F54" s="30">
        <f>SUMIF(abr!$A$1:$A$100,"BARAO DE PIRASSINUNGA",abr!$B$1:$B$100)+SUMIF(abr!$A$1:$A$100,"ANTONIO BASILIO ESF",abr!$B$1:$B$100)+SUMIF(abr!$A$1:$A$100,"SANTA SOFIA",abr!$B$1:$B$100)+SUMIF(abr!$A$1:$A$100,"SAO FRANCISCO I **",abr!$B$1:$B$100)</f>
        <v>209</v>
      </c>
      <c r="G54" s="30">
        <f>SUMIF(mai!$A$1:$A$100,"BARAO DE PIRASSINUNGA",mai!$B$1:$B$100)+SUMIF(mai!$A$1:$A$100,"ANTONIO BASILIO ESF",mai!$B$1:$B$100)+SUMIF(mai!$A$1:$A$100,"SANTA SOFIA",mai!$B$1:$B$100)+SUMIF(mai!$A$1:$A$100,"SAO FRANCISCO I **",mai!$B$1:$B$100)</f>
        <v>213</v>
      </c>
      <c r="H54" s="30">
        <f>SUMIF(jun!$A$1:$A$100,"BARAO DE PIRASSINUNGA",jun!$B$1:$B$100)+SUMIF(jun!$A$1:$A$100,"ANTONIO BASILIO ESF",jun!$B$1:$B$100)+SUMIF(jun!$A$1:$A$100,"SANTA SOFIA",jun!$B$1:$B$100)+SUMIF(jun!$A$1:$A$100,"SAO FRANCISCO I **",jun!$B$1:$B$100)</f>
        <v>217</v>
      </c>
      <c r="I54" s="30">
        <f>SUMIF(jul!$A$1:$A$100,"BARAO DE PIRASSINUNGA",jul!$B$1:$B$100)+SUMIF(jul!$A$1:$A$100,"ANTONIO BASILIO ESF",jul!$B$1:$B$100)+SUMIF(jul!$A$1:$A$100,"SANTA SOFIA",jul!$B$1:$B$100)+SUMIF(jul!$A$1:$A$100,"SAO FRANCISCO I **",jul!$B$1:$B$100)</f>
        <v>219</v>
      </c>
      <c r="J54" s="30">
        <f>SUMIF(ago!$A$1:$A$100,"BARAO DE PIRASSINUNGA",ago!$B$1:$B$100)+SUMIF(ago!$A$1:$A$100,"ANTONIO BASILIO ESF",ago!$B$1:$B$100)+SUMIF(ago!$A$1:$A$100,"SANTA SOFIA",ago!$B$1:$B$100)+SUMIF(ago!$A$1:$A$100,"SAO FRANCISCO I **",ago!$B$1:$B$100)</f>
        <v>221</v>
      </c>
      <c r="K54" s="30">
        <f>SUMIF(set!$A$1:$A$100,"BARAO DE PIRASSINUNGA",set!$B$1:$B$100)+SUMIF(set!$A$1:$A$100,"ANTONIO BASILIO ESF",set!$B$1:$B$100)+SUMIF(set!$A$1:$A$100,"SANTA SOFIA",set!$B$1:$B$100)+SUMIF(set!$A$1:$A$100,"SAO FRANCISCO I **",set!$B$1:$B$100)</f>
        <v>0</v>
      </c>
      <c r="L54" s="30">
        <f>SUMIF(out!$A$1:$A$100,"BARAO DE PIRASSINUNGA",out!$B$1:$B$100)+SUMIF(out!$A$1:$A$100,"ANTONIO BASILIO ESF",out!$B$1:$B$100)+SUMIF(out!$A$1:$A$100,"SANTA SOFIA",out!$B$1:$B$100)+SUMIF(out!$A$1:$A$100,"SAO FRANCISCO I **",out!$B$1:$B$100)</f>
        <v>0</v>
      </c>
      <c r="M54" s="30">
        <f>SUMIF(nov!$A$1:$A$100,"BARAO DE PIRASSINUNGA",nov!$B$1:$B$100)+SUMIF(nov!$A$1:$A$100,"ANTONIO BASILIO ESF",nov!$B$1:$B$100)+SUMIF(nov!$A$1:$A$100,"SANTA SOFIA",nov!$B$1:$B$100)+SUMIF(nov!$A$1:$A$100,"SAO FRANCISCO I **",nov!$B$1:$B$100)</f>
        <v>0</v>
      </c>
      <c r="N54" s="30">
        <f>SUMIF(dez!$A$1:$A$100,"BARAO DE PIRASSINUNGA",dez!$B$1:$B$100)+SUMIF(dez!$A$1:$A$100,"ANTONIO BASILIO ESF",dez!$B$1:$B$100)+SUMIF(dez!$A$1:$A$100,"SANTA SOFIA",dez!$B$1:$B$100)+SUMIF(dez!$A$1:$A$100,"SAO FRANCISCO I **",dez!$B$1:$B$100)</f>
        <v>0</v>
      </c>
      <c r="O54" s="30">
        <f t="shared" si="38"/>
        <v>621</v>
      </c>
      <c r="P54" s="30">
        <f t="shared" si="39"/>
        <v>639</v>
      </c>
      <c r="Q54" s="30">
        <f t="shared" si="40"/>
        <v>440</v>
      </c>
      <c r="R54" s="30">
        <f t="shared" si="41"/>
        <v>0</v>
      </c>
      <c r="S54" s="38">
        <f t="shared" si="42"/>
        <v>621</v>
      </c>
      <c r="T54" s="39"/>
      <c r="U54" s="39"/>
      <c r="V54" s="39"/>
      <c r="W54" s="40"/>
      <c r="X54" s="40"/>
      <c r="Y54" s="40"/>
    </row>
    <row r="55">
      <c r="A55" s="31"/>
      <c r="B55" s="29" t="s">
        <v>175</v>
      </c>
      <c r="C55" s="30">
        <f>SUMIF(jan!$A$1:$A$94,"CATRAMBI I",jan!$B$1:$B$94)+SUMIF(jan!$A$1:$A$94,"CATRAMBI II",jan!$B$1:$B$94)+SUMIF(jan!$A$1:$A$94,"CATRAMBI III",jan!$B$1:$B$94)+SUMIF(jan!$A$1:$A$94,"PINHEIRO DA CUNHA ESF",jan!$B$1:$B$94)+SUMIF(jan!$A$1:$A$94,"ALZIRA BRANDAO",jan!$B$1:$B$94)+SUMIF(jan!$A$1:$A$94,"DONA DELFINA",jan!$B$1:$B$94)</f>
        <v>200</v>
      </c>
      <c r="D55" s="30">
        <f>SUMIF(fev!$A$1:$A$100,"CATRAMBI I **",fev!$B$1:$B$100)+SUMIF(fev!$A$1:$A$100,"PINHEIRO DA CUNHA ESF",fev!$B$1:$B$100)+SUMIF(fev!$A$1:$A$100,"ALZIRA BRANDAO",fev!$B$1:$B$100)+SUMIF(fev!$A$1:$A$100,"DONA DELFINA",fev!$B$1:$B$100)</f>
        <v>205</v>
      </c>
      <c r="E55" s="30">
        <f>SUMIF(mar!$A$1:$A$100,"CATRAMBI I **",mar!$B$1:$B$100)+SUMIF(mar!$A$1:$A$100,"PINHEIRO DA CUNHA ESF",mar!$B$1:$B$100)+SUMIF(mar!$A$1:$A$100,"ALZIRA BRANDAO",mar!$B$1:$B$100)+SUMIF(mar!$A$1:$A$100,"DONA DELFINA",mar!$B$1:$B$100)</f>
        <v>202</v>
      </c>
      <c r="F55" s="30">
        <f>SUMIF(abr!$A$1:$A$100,"CATRAMBI I **",abr!$B$1:$B$100)+SUMIF(abr!$A$1:$A$100,"PINHEIRO DA CUNHA ESF",abr!$B$1:$B$100)+SUMIF(abr!$A$1:$A$100,"ALZIRA BRANDAO",abr!$B$1:$B$100)+SUMIF(abr!$A$1:$A$100,"DONA DELFINA",abr!$B$1:$B$100)</f>
        <v>202</v>
      </c>
      <c r="G55" s="30">
        <f>SUMIF(mai!$A$1:$A$100,"CATRAMBI I **",mai!$B$1:$B$100)+SUMIF(mai!$A$1:$A$100,"PINHEIRO DA CUNHA ESF",mai!$B$1:$B$100)+SUMIF(mai!$A$1:$A$100,"ALZIRA BRANDAO",mai!$B$1:$B$100)+SUMIF(mai!$A$1:$A$100,"DONA DELFINA",mai!$B$1:$B$100)</f>
        <v>194</v>
      </c>
      <c r="H55" s="30">
        <f>SUMIF(jun!$A$1:$A$100,"CATRAMBI I **",jun!$B$1:$B$100)+SUMIF(jun!$A$1:$A$100,"PINHEIRO DA CUNHA ESF",jun!$B$1:$B$100)+SUMIF(jun!$A$1:$A$100,"ALZIRA BRANDAO",jun!$B$1:$B$100)+SUMIF(jun!$A$1:$A$100,"DONA DELFINA",jun!$B$1:$B$100)</f>
        <v>198</v>
      </c>
      <c r="I55" s="30">
        <f>SUMIF(jul!$A$1:$A$100,"CATRAMBI I **",jul!$B$1:$B$100)+SUMIF(jul!$A$1:$A$100,"PINHEIRO DA CUNHA ESF",jul!$B$1:$B$100)+SUMIF(jul!$A$1:$A$100,"ALZIRA BRANDAO",jul!$B$1:$B$100)+SUMIF(jul!$A$1:$A$100,"DONA DELFINA",jul!$B$1:$B$100)</f>
        <v>199</v>
      </c>
      <c r="J55" s="30">
        <f>SUMIF(ago!$A$1:$A$100,"CATRAMBI I **",ago!$B$1:$B$100)+SUMIF(ago!$A$1:$A$100,"PINHEIRO DA CUNHA ESF",ago!$B$1:$B$100)+SUMIF(ago!$A$1:$A$100,"ALZIRA BRANDAO",ago!$B$1:$B$100)+SUMIF(ago!$A$1:$A$100,"DONA DELFINA",ago!$B$1:$B$100)</f>
        <v>205</v>
      </c>
      <c r="K55" s="30">
        <f>SUMIF(set!$A$1:$A$100,"CATRAMBI I **",set!$B$1:$B$100)+SUMIF(set!$A$1:$A$100,"PINHEIRO DA CUNHA ESF",set!$B$1:$B$100)+SUMIF(set!$A$1:$A$100,"ALZIRA BRANDAO",set!$B$1:$B$100)+SUMIF(set!$A$1:$A$100,"DONA DELFINA",set!$B$1:$B$100)</f>
        <v>0</v>
      </c>
      <c r="L55" s="30">
        <f>SUMIF(out!$A$1:$A$100,"CATRAMBI I **",out!$B$1:$B$100)+SUMIF(out!$A$1:$A$100,"PINHEIRO DA CUNHA ESF",out!$B$1:$B$100)+SUMIF(out!$A$1:$A$100,"ALZIRA BRANDAO",out!$B$1:$B$100)+SUMIF(out!$A$1:$A$100,"DONA DELFINA",out!$B$1:$B$100)</f>
        <v>0</v>
      </c>
      <c r="M55" s="30">
        <f>SUMIF(nov!$A$1:$A$100,"CATRAMBI I **",nov!$B$1:$B$100)+SUMIF(nov!$A$1:$A$100,"PINHEIRO DA CUNHA ESF",nov!$B$1:$B$100)+SUMIF(nov!$A$1:$A$100,"ALZIRA BRANDAO",nov!$B$1:$B$100)+SUMIF(nov!$A$1:$A$100,"DONA DELFINA",nov!$B$1:$B$100)</f>
        <v>0</v>
      </c>
      <c r="N55" s="30">
        <f>SUMIF(dez!$A$1:$A$100,"CATRAMBI I **",dez!$B$1:$B$100)+SUMIF(dez!$A$1:$A$100,"PINHEIRO DA CUNHA ESF",dez!$B$1:$B$100)+SUMIF(dez!$A$1:$A$100,"ALZIRA BRANDAO",dez!$B$1:$B$100)+SUMIF(dez!$A$1:$A$100,"DONA DELFINA",dez!$B$1:$B$100)</f>
        <v>0</v>
      </c>
      <c r="O55" s="30">
        <f t="shared" si="38"/>
        <v>607</v>
      </c>
      <c r="P55" s="30">
        <f t="shared" si="39"/>
        <v>594</v>
      </c>
      <c r="Q55" s="30">
        <f t="shared" si="40"/>
        <v>404</v>
      </c>
      <c r="R55" s="30">
        <f t="shared" si="41"/>
        <v>0</v>
      </c>
      <c r="S55" s="38">
        <f t="shared" si="42"/>
        <v>607</v>
      </c>
      <c r="T55" s="39"/>
      <c r="U55" s="39"/>
      <c r="V55" s="39"/>
      <c r="W55" s="40"/>
      <c r="X55" s="40"/>
      <c r="Y55" s="40"/>
    </row>
    <row r="56">
      <c r="A56" s="32"/>
      <c r="B56" s="29" t="s">
        <v>176</v>
      </c>
      <c r="C56" s="30">
        <f>SUMIF(jan!$A$1:$A$94,"SABOIA LIMA I",jan!$B$1:$B$94)+SUMIF(jan!$A$1:$A$94,"SABOIA LIMA II",jan!$B$1:$B$94)+SUMIF(jan!$A$1:$A$94,"SABOIA LIMA III",jan!$B$1:$B$94)+SUMIF(jan!$A$1:$A$94,"XAVIER DE BRITO",jan!$B$1:$B$94)+SUMIF(jan!$A$1:$A$94,"MARIA AMALIA ESF",jan!$B$1:$B$94)</f>
        <v>128</v>
      </c>
      <c r="D56" s="30">
        <f>SUMIF(fev!$A$1:$A$100,"SABOIA LIMA I **",fev!$B$1:$B$100)+SUMIF(fev!$A$1:$A$100,"XAVIER DE BRITO",fev!$B$1:$B$100)+SUMIF(fev!$A$1:$A$100,"MARIA AMALIA ESF",fev!$B$1:$B$100)</f>
        <v>128</v>
      </c>
      <c r="E56" s="30">
        <f>SUMIF(mar!$A$1:$A$100,"SABOIA LIMA I **",mar!$B$1:$B$100)+SUMIF(mar!$A$1:$A$100,"XAVIER DE BRITO",mar!$B$1:$B$100)+SUMIF(mar!$A$1:$A$100,"MARIA AMALIA ESF",mar!$B$1:$B$100)</f>
        <v>123</v>
      </c>
      <c r="F56" s="30">
        <f>SUMIF(abr!$A$1:$A$100,"SABOIA LIMA I **",abr!$B$1:$B$100)+SUMIF(abr!$A$1:$A$100,"XAVIER DE BRITO",abr!$B$1:$B$100)+SUMIF(abr!$A$1:$A$100,"MARIA AMALIA ESF",abr!$B$1:$B$100)</f>
        <v>125</v>
      </c>
      <c r="G56" s="30">
        <f>SUMIF(mai!$A$1:$A$100,"SABOIA LIMA I **",mai!$B$1:$B$100)+SUMIF(mai!$A$1:$A$100,"XAVIER DE BRITO",mai!$B$1:$B$100)+SUMIF(mai!$A$1:$A$100,"MARIA AMALIA ESF",mai!$B$1:$B$100)</f>
        <v>123</v>
      </c>
      <c r="H56" s="30">
        <f>SUMIF(jun!$A$1:$A$100,"SABOIA LIMA I **",jun!$B$1:$B$100)+SUMIF(jun!$A$1:$A$100,"XAVIER DE BRITO",jun!$B$1:$B$100)+SUMIF(jun!$A$1:$A$100,"MARIA AMALIA ESF",jun!$B$1:$B$100)</f>
        <v>126</v>
      </c>
      <c r="I56" s="30">
        <f>SUMIF(jul!$A$1:$A$100,"SABOIA LIMA I **",jul!$B$1:$B$100)+SUMIF(jul!$A$1:$A$100,"XAVIER DE BRITO",jul!$B$1:$B$100)+SUMIF(jul!$A$1:$A$100,"MARIA AMALIA ESF",jul!$B$1:$B$100)</f>
        <v>127</v>
      </c>
      <c r="J56" s="30">
        <f>SUMIF(ago!$A$1:$A$100,"SABOIA LIMA I **",ago!$B$1:$B$100)+SUMIF(ago!$A$1:$A$100,"XAVIER DE BRITO",ago!$B$1:$B$100)+SUMIF(ago!$A$1:$A$100,"MARIA AMALIA ESF",ago!$B$1:$B$100)</f>
        <v>130</v>
      </c>
      <c r="K56" s="30">
        <f>SUMIF(set!$A$1:$A$100,"SABOIA LIMA I **",set!$B$1:$B$100)+SUMIF(set!$A$1:$A$100,"XAVIER DE BRITO",set!$B$1:$B$100)+SUMIF(set!$A$1:$A$100,"MARIA AMALIA ESF",set!$B$1:$B$100)</f>
        <v>0</v>
      </c>
      <c r="L56" s="30">
        <f>SUMIF(out!$A$1:$A$100,"SABOIA LIMA I **",out!$B$1:$B$100)+SUMIF(out!$A$1:$A$100,"XAVIER DE BRITO",out!$B$1:$B$100)+SUMIF(out!$A$1:$A$100,"MARIA AMALIA ESF",out!$B$1:$B$100)</f>
        <v>0</v>
      </c>
      <c r="M56" s="30">
        <f>SUMIF(nov!$A$1:$A$100,"SABOIA LIMA I **",nov!$B$1:$B$100)+SUMIF(nov!$A$1:$A$100,"XAVIER DE BRITO",nov!$B$1:$B$100)+SUMIF(nov!$A$1:$A$100,"MARIA AMALIA ESF",nov!$B$1:$B$100)</f>
        <v>0</v>
      </c>
      <c r="N56" s="30">
        <f>SUMIF(dez!$A$1:$A$100,"SABOIA LIMA I **",dez!$B$1:$B$100)+SUMIF(dez!$A$1:$A$100,"XAVIER DE BRITO",dez!$B$1:$B$100)+SUMIF(dez!$A$1:$A$100,"MARIA AMALIA ESF",dez!$B$1:$B$100)</f>
        <v>0</v>
      </c>
      <c r="O56" s="30">
        <f t="shared" si="38"/>
        <v>379</v>
      </c>
      <c r="P56" s="30">
        <f t="shared" si="39"/>
        <v>374</v>
      </c>
      <c r="Q56" s="30">
        <f t="shared" si="40"/>
        <v>257</v>
      </c>
      <c r="R56" s="30">
        <f t="shared" si="41"/>
        <v>0</v>
      </c>
      <c r="S56" s="38">
        <f t="shared" si="42"/>
        <v>379</v>
      </c>
      <c r="T56" s="39"/>
      <c r="U56" s="39"/>
      <c r="V56" s="39"/>
      <c r="W56" s="40"/>
      <c r="X56" s="40"/>
      <c r="Y56" s="40"/>
    </row>
    <row r="57">
      <c r="A57" s="41" t="s">
        <v>177</v>
      </c>
      <c r="B57" s="29" t="s">
        <v>178</v>
      </c>
      <c r="C57" s="30">
        <f>SUMIF(jan!$A$1:$A$100,"VILLA LOBOS",jan!$B$1:$B$100)+SUMIF(jan!$A$1:$A$100,"AFONSO PENA",jan!$B$1:$B$100)+SUMIF(jan!$A$1:$A$100,"CAPUCHINHOS",jan!$B$1:$B$100)</f>
        <v>174</v>
      </c>
      <c r="D57" s="30">
        <f>SUMIF(fev!$A$1:$A$100,"VILLA LOBOS",fev!$B$1:$B$100)+SUMIF(fev!$A$1:$A$100,"AFONSO PENA",fev!$B$1:$B$100)+SUMIF(fev!$A$1:$A$100,"CAPUCHINHOS",fev!$B$1:$B$100)</f>
        <v>184</v>
      </c>
      <c r="E57" s="30">
        <f>SUMIF(mar!$A$1:$A$100,"VILLA LOBOS",mar!$B$1:$B$100)+SUMIF(mar!$A$1:$A$100,"AFONSO PENA",mar!$B$1:$B$100)+SUMIF(mar!$A$1:$A$100,"CAPUCHINHOS",mar!$B$1:$B$100)</f>
        <v>190</v>
      </c>
      <c r="F57" s="30">
        <f>SUMIF(abr!$A$1:$A$100,"VILLA LOBOS",abr!$B$1:$B$100)+SUMIF(abr!$A$1:$A$100,"AFONSO PENA",abr!$B$1:$B$100)+SUMIF(abr!$A$1:$A$100,"CAPUCHINHOS",abr!$B$1:$B$100)</f>
        <v>189</v>
      </c>
      <c r="G57" s="30">
        <f>SUMIF(mai!$A$1:$A$100,"VILLA LOBOS",mai!$B$1:$B$100)+SUMIF(mai!$A$1:$A$100,"AFONSO PENA",mai!$B$1:$B$100)+SUMIF(mai!$A$1:$A$100,"CAPUCHINHOS",mai!$B$1:$B$100)</f>
        <v>197</v>
      </c>
      <c r="H57" s="30">
        <f>SUMIF(jun!$A$1:$A$100,"VILLA LOBOS",jun!$B$1:$B$100)+SUMIF(jun!$A$1:$A$100,"AFONSO PENA",jun!$B$1:$B$100)+SUMIF(jun!$A$1:$A$100,"CAPUCHINHOS",jun!$B$1:$B$100)</f>
        <v>196</v>
      </c>
      <c r="I57" s="30">
        <f>SUMIF(jul!$A$1:$A$100,"VILLA LOBOS",jul!$B$1:$B$100)+SUMIF(jul!$A$1:$A$100,"AFONSO PENA",jul!$B$1:$B$100)+SUMIF(jul!$A$1:$A$100,"CAPUCHINHOS",jul!$B$1:$B$100)</f>
        <v>203</v>
      </c>
      <c r="J57" s="30">
        <f>SUMIF(ago!$A$1:$A$100,"VILLA LOBOS",ago!$B$1:$B$100)+SUMIF(ago!$A$1:$A$100,"AFONSO PENA",ago!$B$1:$B$100)+SUMIF(ago!$A$1:$A$100,"CAPUCHINHOS",ago!$B$1:$B$100)</f>
        <v>205</v>
      </c>
      <c r="K57" s="30">
        <f>SUMIF(set!$A$1:$A$100,"VILLA LOBOS",set!$B$1:$B$100)+SUMIF(set!$A$1:$A$100,"AFONSO PENA",set!$B$1:$B$100)+SUMIF(set!$A$1:$A$100,"CAPUCHINHOS",set!$B$1:$B$100)</f>
        <v>0</v>
      </c>
      <c r="L57" s="30">
        <f>SUMIF(out!$A$1:$A$100,"VILLA LOBOS",out!$B$1:$B$100)+SUMIF(out!$A$1:$A$100,"AFONSO PENA",out!$B$1:$B$100)+SUMIF(out!$A$1:$A$100,"CAPUCHINHOS",out!$B$1:$B$100)</f>
        <v>0</v>
      </c>
      <c r="M57" s="30">
        <f>SUMIF(nov!$A$1:$A$100,"VILLA LOBOS",nov!$B$1:$B$100)+SUMIF(nov!$A$1:$A$100,"AFONSO PENA",nov!$B$1:$B$100)+SUMIF(nov!$A$1:$A$100,"CAPUCHINHOS",nov!$B$1:$B$100)</f>
        <v>0</v>
      </c>
      <c r="N57" s="30">
        <f>SUMIF(dez!$A$1:$A$100,"VILLA LOBOS",dez!$B$1:$B$100)+SUMIF(dez!$A$1:$A$100,"AFONSO PENA",dez!$B$1:$B$100)+SUMIF(dez!$A$1:$A$100,"CAPUCHINHOS",dez!$B$1:$B$100)</f>
        <v>0</v>
      </c>
      <c r="O57" s="30">
        <f t="shared" si="38"/>
        <v>548</v>
      </c>
      <c r="P57" s="30">
        <f t="shared" si="39"/>
        <v>582</v>
      </c>
      <c r="Q57" s="30">
        <f t="shared" si="40"/>
        <v>408</v>
      </c>
      <c r="R57" s="30">
        <f t="shared" si="41"/>
        <v>0</v>
      </c>
      <c r="S57" s="8"/>
      <c r="T57" s="8"/>
      <c r="U57" s="8"/>
      <c r="V57" s="8"/>
      <c r="W57" s="8"/>
      <c r="X57" s="8"/>
    </row>
    <row r="58">
      <c r="A58" s="31"/>
      <c r="B58" s="29" t="s">
        <v>179</v>
      </c>
      <c r="C58" s="30">
        <f>SUMIF(jan!$A$1:$A$100,"SENADOR FURTADO ESF",jan!$B$1:$B$100)+SUMIF(jan!$A$1:$A$100,"MARIZ E BARROS ESF",jan!$B$1:$B$100)+SUMIF(jan!$A$1:$A$100,"MARACANA",jan!$B$1:$B$100)</f>
        <v>255</v>
      </c>
      <c r="D58" s="30">
        <f>SUMIF(fev!$A$1:$A$100,"SENADOR FURTADO ESF",fev!$B$1:$B$100)+SUMIF(fev!$A$1:$A$100,"MARIZ E BARROS ESF",fev!$B$1:$B$100)+SUMIF(fev!$A$1:$A$100,"MARACANA",fev!$B$1:$B$100)</f>
        <v>262</v>
      </c>
      <c r="E58" s="30">
        <f>SUMIF(mar!$A$1:$A$100,"SENADOR FURTADO ESF",mar!$B$1:$B$100)+SUMIF(mar!$A$1:$A$100,"MARIZ E BARROS ESF",mar!$B$1:$B$100)+SUMIF(mar!$A$1:$A$100,"MARACANA",mar!$B$1:$B$100)</f>
        <v>259</v>
      </c>
      <c r="F58" s="30">
        <f>SUMIF(abr!$A$1:$A$100,"SENADOR FURTADO ESF",abr!$B$1:$B$100)+SUMIF(abr!$A$1:$A$100,"MARIZ E BARROS ESF",abr!$B$1:$B$100)+SUMIF(abr!$A$1:$A$100,"MARACANA",abr!$B$1:$B$100)</f>
        <v>259</v>
      </c>
      <c r="G58" s="30">
        <f>SUMIF(mai!$A$1:$A$100,"SENADOR FURTADO ESF",mai!$B$1:$B$100)+SUMIF(mai!$A$1:$A$100,"MARIZ E BARROS ESF",mai!$B$1:$B$100)+SUMIF(mai!$A$1:$A$100,"MARACANA",mai!$B$1:$B$100)</f>
        <v>262</v>
      </c>
      <c r="H58" s="30">
        <f>SUMIF(jun!$A$1:$A$100,"SENADOR FURTADO ESF",jun!$B$1:$B$100)+SUMIF(jun!$A$1:$A$100,"MARIZ E BARROS ESF",jun!$B$1:$B$100)+SUMIF(jun!$A$1:$A$100,"MARACANA",jun!$B$1:$B$100)</f>
        <v>259</v>
      </c>
      <c r="I58" s="30">
        <f>SUMIF(jul!$A$1:$A$100,"SENADOR FURTADO ESF",jul!$B$1:$B$100)+SUMIF(jul!$A$1:$A$100,"MARIZ E BARROS ESF",jul!$B$1:$B$100)+SUMIF(jul!$A$1:$A$100,"MARACANA",jul!$B$1:$B$100)</f>
        <v>259</v>
      </c>
      <c r="J58" s="30">
        <f>SUMIF(ago!$A$1:$A$100,"SENADOR FURTADO ESF",ago!$B$1:$B$100)+SUMIF(ago!$A$1:$A$100,"MARIZ E BARROS ESF",ago!$B$1:$B$100)+SUMIF(ago!$A$1:$A$100,"MARACANA",ago!$B$1:$B$100)</f>
        <v>271</v>
      </c>
      <c r="K58" s="30">
        <f>SUMIF(set!$A$1:$A$100,"SENADOR FURTADO ESF",set!$B$1:$B$100)+SUMIF(set!$A$1:$A$100,"MARIZ E BARROS ESF",set!$B$1:$B$100)+SUMIF(set!$A$1:$A$100,"MARACANA",set!$B$1:$B$100)</f>
        <v>0</v>
      </c>
      <c r="L58" s="30">
        <f>SUMIF(out!$A$1:$A$100,"SENADOR FURTADO ESF",out!$B$1:$B$100)+SUMIF(out!$A$1:$A$100,"MARIZ E BARROS ESF",out!$B$1:$B$100)+SUMIF(out!$A$1:$A$100,"MARACANA",out!$B$1:$B$100)</f>
        <v>0</v>
      </c>
      <c r="M58" s="30">
        <f>SUMIF(nov!$A$1:$A$100,"SENADOR FURTADO ESF",nov!$B$1:$B$100)+SUMIF(nov!$A$1:$A$100,"MARIZ E BARROS ESF",nov!$B$1:$B$100)+SUMIF(nov!$A$1:$A$100,"MARACANA",nov!$B$1:$B$100)</f>
        <v>0</v>
      </c>
      <c r="N58" s="30">
        <f>SUMIF(dez!$A$1:$A$100,"SENADOR FURTADO ESF",dez!$B$1:$B$100)+SUMIF(dez!$A$1:$A$100,"MARIZ E BARROS ESF",dez!$B$1:$B$100)+SUMIF(dez!$A$1:$A$100,"MARACANA",dez!$B$1:$B$100)</f>
        <v>0</v>
      </c>
      <c r="O58" s="30">
        <f t="shared" si="38"/>
        <v>776</v>
      </c>
      <c r="P58" s="30">
        <f t="shared" si="39"/>
        <v>780</v>
      </c>
      <c r="Q58" s="30">
        <f t="shared" si="40"/>
        <v>530</v>
      </c>
      <c r="R58" s="30">
        <f t="shared" si="41"/>
        <v>0</v>
      </c>
      <c r="S58" s="8"/>
      <c r="T58" s="8"/>
      <c r="U58" s="8"/>
      <c r="V58" s="8"/>
      <c r="W58" s="8"/>
      <c r="X58" s="8"/>
    </row>
    <row r="59">
      <c r="A59" s="32"/>
      <c r="B59" s="29" t="s">
        <v>180</v>
      </c>
      <c r="C59" s="30">
        <f>SUMIF(jan!$A$1:$A$100,"BANDEIRA I",jan!$B$1:$B$100)+SUMIF(jan!$A$1:$A$100,"BANDEIRA II",jan!$B$1:$B$100)+SUMIF(jan!$A$1:$A$100,"BANDEIRA III",jan!$B$1:$B$100)+SUMIF(jan!$A$1:$A$100,"MATOSO I",jan!$B$1:$B$100)+SUMIF(jan!$A$1:$A$100,"MATOSO II",jan!$B$1:$B$100)+SUMIF(jan!$A$1:$A$100,"MATOSO III",jan!$B$1:$B$100)+SUMIF(jan!$A$1:$A$100,"CANABARRO",jan!$B$1:$B$100)</f>
        <v>234</v>
      </c>
      <c r="D59" s="30">
        <f>SUMIF(fev!$A$1:$A$100,"BANDEIRA I",fev!$B$1:$B$100)+SUMIF(fev!$A$1:$A$100,"BANDEIRA II",fev!$B$1:$B$100)+SUMIF(fev!$A$1:$A$100,"BANDEIRA III",fev!$B$1:$B$100)+SUMIF(fev!$A$1:$A$100,"MATOSO I",fev!$B$1:$B$100)+SUMIF(fev!$A$1:$A$100,"MATOSO II",fev!$B$1:$B$100)+SUMIF(fev!$A$1:$A$100,"MATOSO III",fev!$B$1:$B$100)+SUMIF(fev!$A$1:$A$100,"CANABARRO",fev!$B$1:$B$100)</f>
        <v>239</v>
      </c>
      <c r="E59" s="30">
        <f>SUMIF(mar!$A$1:$A$100,"BANDEIRA I",mar!$B$1:$B$100)+SUMIF(mar!$A$1:$A$100,"BANDEIRA II",mar!$B$1:$B$100)+SUMIF(mar!$A$1:$A$100,"BANDEIRA III",mar!$B$1:$B$100)+SUMIF(mar!$A$1:$A$100,"MATOSO I",mar!$B$1:$B$100)+SUMIF(mar!$A$1:$A$100,"MATOSO II",mar!$B$1:$B$100)+SUMIF(mar!$A$1:$A$100,"MATOSO III",mar!$B$1:$B$100)+SUMIF(mar!$A$1:$A$100,"CANABARRO",mar!$B$1:$B$100)</f>
        <v>241</v>
      </c>
      <c r="F59" s="30">
        <f>SUMIF(abr!$A$1:$A$100,"BANDEIRA I",abr!$B$1:$B$100)+SUMIF(abr!$A$1:$A$100,"BANDEIRA II",abr!$B$1:$B$100)+SUMIF(abr!$A$1:$A$100,"BANDEIRA III",abr!$B$1:$B$100)+SUMIF(abr!$A$1:$A$100,"MATOSO I",abr!$B$1:$B$100)+SUMIF(abr!$A$1:$A$100,"MATOSO II",abr!$B$1:$B$100)+SUMIF(abr!$A$1:$A$100,"MATOSO III",abr!$B$1:$B$100)+SUMIF(abr!$A$1:$A$100,"CANABARRO",abr!$B$1:$B$100)</f>
        <v>242</v>
      </c>
      <c r="G59" s="30">
        <f>SUMIF(mai!$A$1:$A$100,"BANDEIRA I",mai!$B$1:$B$100)+SUMIF(mai!$A$1:$A$100,"BANDEIRA II",mai!$B$1:$B$100)+SUMIF(mai!$A$1:$A$100,"BANDEIRA III",mai!$B$1:$B$100)+SUMIF(mai!$A$1:$A$100,"MATOSO I",mai!$B$1:$B$100)+SUMIF(mai!$A$1:$A$100,"MATOSO II",mai!$B$1:$B$100)+SUMIF(mai!$A$1:$A$100,"MATOSO III",mai!$B$1:$B$100)+SUMIF(mai!$A$1:$A$100,"CANABARRO",mai!$B$1:$B$100)</f>
        <v>241</v>
      </c>
      <c r="H59" s="30">
        <f>SUMIF(jun!$A$1:$A$100,"BANDEIRA I",jun!$B$1:$B$100)+SUMIF(jun!$A$1:$A$100,"BANDEIRA II",jun!$B$1:$B$100)+SUMIF(jun!$A$1:$A$100,"BANDEIRA III",jun!$B$1:$B$100)+SUMIF(jun!$A$1:$A$100,"MATOSO I",jun!$B$1:$B$100)+SUMIF(jun!$A$1:$A$100,"MATOSO II",jun!$B$1:$B$100)+SUMIF(jun!$A$1:$A$100,"MATOSO III",jun!$B$1:$B$100)+SUMIF(jun!$A$1:$A$100,"CANABARRO",jun!$B$1:$B$100)</f>
        <v>237</v>
      </c>
      <c r="I59" s="30">
        <f>SUMIF(jul!$A$1:$A$100,"BANDEIRA I",jul!$B$1:$B$100)+SUMIF(jul!$A$1:$A$100,"BANDEIRA II",jul!$B$1:$B$100)+SUMIF(jul!$A$1:$A$100,"BANDEIRA III",jul!$B$1:$B$100)+SUMIF(jul!$A$1:$A$100,"MATOSO I",jul!$B$1:$B$100)+SUMIF(jul!$A$1:$A$100,"MATOSO II",jul!$B$1:$B$100)+SUMIF(jul!$A$1:$A$100,"MATOSO III",jul!$B$1:$B$100)+SUMIF(jul!$A$1:$A$100,"CANABARRO",jul!$B$1:$B$100)</f>
        <v>225</v>
      </c>
      <c r="J59" s="30">
        <f>SUMIF(ago!$A$1:$A$100,"BANDEIRA I",ago!$B$1:$B$100)+SUMIF(ago!$A$1:$A$100,"BANDEIRA II",ago!$B$1:$B$100)+SUMIF(ago!$A$1:$A$100,"BANDEIRA III",ago!$B$1:$B$100)+SUMIF(ago!$A$1:$A$100,"MATOSO I",ago!$B$1:$B$100)+SUMIF(ago!$A$1:$A$100,"MATOSO II",ago!$B$1:$B$100)+SUMIF(ago!$A$1:$A$100,"MATOSO III",ago!$B$1:$B$100)+SUMIF(ago!$A$1:$A$100,"CANABARRO",ago!$B$1:$B$100)</f>
        <v>214</v>
      </c>
      <c r="K59" s="30">
        <f>SUMIF(set!$A$1:$A$100,"BANDEIRA I",set!$B$1:$B$100)+SUMIF(set!$A$1:$A$100,"BANDEIRA II",set!$B$1:$B$100)+SUMIF(set!$A$1:$A$100,"BANDEIRA III",set!$B$1:$B$100)+SUMIF(set!$A$1:$A$100,"MATOSO I",set!$B$1:$B$100)+SUMIF(set!$A$1:$A$100,"MATOSO II",set!$B$1:$B$100)+SUMIF(set!$A$1:$A$100,"MATOSO III",set!$B$1:$B$100)+SUMIF(set!$A$1:$A$100,"CANABARRO",set!$B$1:$B$100)</f>
        <v>0</v>
      </c>
      <c r="L59" s="30">
        <f>SUMIF(out!$A$1:$A$100,"BANDEIRA I",out!$B$1:$B$100)+SUMIF(out!$A$1:$A$100,"BANDEIRA II",out!$B$1:$B$100)+SUMIF(out!$A$1:$A$100,"BANDEIRA III",out!$B$1:$B$100)+SUMIF(out!$A$1:$A$100,"MATOSO I",out!$B$1:$B$100)+SUMIF(out!$A$1:$A$100,"MATOSO II",out!$B$1:$B$100)+SUMIF(out!$A$1:$A$100,"MATOSO III",out!$B$1:$B$100)+SUMIF(out!$A$1:$A$100,"CANABARRO",out!$B$1:$B$100)</f>
        <v>0</v>
      </c>
      <c r="M59" s="30">
        <f>SUMIF(nov!$A$1:$A$100,"BANDEIRA I",nov!$B$1:$B$100)+SUMIF(nov!$A$1:$A$100,"BANDEIRA II",nov!$B$1:$B$100)+SUMIF(nov!$A$1:$A$100,"BANDEIRA III",nov!$B$1:$B$100)+SUMIF(nov!$A$1:$A$100,"MATOSO I",nov!$B$1:$B$100)+SUMIF(nov!$A$1:$A$100,"MATOSO II",nov!$B$1:$B$100)+SUMIF(nov!$A$1:$A$100,"MATOSO III",nov!$B$1:$B$100)+SUMIF(nov!$A$1:$A$100,"CANABARRO",nov!$B$1:$B$100)</f>
        <v>0</v>
      </c>
      <c r="N59" s="30">
        <f>SUMIF(dez!$A$1:$A$100,"BANDEIRA I",dez!$B$1:$B$100)+SUMIF(dez!$A$1:$A$100,"BANDEIRA II",dez!$B$1:$B$100)+SUMIF(dez!$A$1:$A$100,"BANDEIRA III",dez!$B$1:$B$100)+SUMIF(dez!$A$1:$A$100,"MATOSO I",dez!$B$1:$B$100)+SUMIF(dez!$A$1:$A$100,"MATOSO II",dez!$B$1:$B$100)+SUMIF(dez!$A$1:$A$100,"MATOSO III",dez!$B$1:$B$100)+SUMIF(dez!$A$1:$A$100,"CANABARRO",dez!$B$1:$B$100)</f>
        <v>0</v>
      </c>
      <c r="O59" s="30">
        <f t="shared" si="38"/>
        <v>714</v>
      </c>
      <c r="P59" s="30">
        <f t="shared" si="39"/>
        <v>720</v>
      </c>
      <c r="Q59" s="30">
        <f t="shared" si="40"/>
        <v>439</v>
      </c>
      <c r="R59" s="30">
        <f t="shared" si="41"/>
        <v>0</v>
      </c>
      <c r="S59" s="8"/>
      <c r="T59" s="8"/>
      <c r="U59" s="8"/>
      <c r="V59" s="8"/>
      <c r="W59" s="8"/>
      <c r="X59" s="8"/>
    </row>
    <row r="60">
      <c r="A60" s="33" t="s">
        <v>181</v>
      </c>
      <c r="B60" s="42" t="s">
        <v>182</v>
      </c>
      <c r="C60" s="30">
        <f>SUMIF(jan!$A$1:$A$100,"SENADOR",jan!$B$1:$B$100)+SUMIF(jan!$A$1:$A$100,"BARAO DE COTEGIPE",jan!$B$1:$B$100)+SUMIF(jan!$A$1:$A$100,"PETROCOCHINO",jan!$B$1:$B$100)+SUMIF(jan!$A$1:$A$100,"SANTA ISABEL",jan!$B$1:$B$100)</f>
        <v>236</v>
      </c>
      <c r="D60" s="30">
        <f>SUMIF(fev!$A$1:$A$100,"SENADOR",fev!$B$1:$B$100)+SUMIF(fev!$A$1:$A$100,"BARAO DE COTEGIPE",fev!$B$1:$B$100)+SUMIF(fev!$A$1:$A$100,"PETROCOCHINO",fev!$B$1:$B$100)+SUMIF(fev!$A$1:$A$100,"SANTA ISABEL",fev!$B$1:$B$100)</f>
        <v>234</v>
      </c>
      <c r="E60" s="30">
        <f>SUMIF(mar!$A$1:$A$100,"SENADOR",mar!$B$1:$B$100)+SUMIF(mar!$A$1:$A$100,"BARAO DE COTEGIPE",mar!$B$1:$B$100)+SUMIF(mar!$A$1:$A$100,"PETROCOCHINO",mar!$B$1:$B$100)+SUMIF(mar!$A$1:$A$100,"SANTA ISABEL",mar!$B$1:$B$100)</f>
        <v>236</v>
      </c>
      <c r="F60" s="30">
        <f>SUMIF(abr!$A$1:$A$100,"SENADOR",abr!$B$1:$B$100)+SUMIF(abr!$A$1:$A$100,"BARAO DE COTEGIPE",abr!$B$1:$B$100)+SUMIF(abr!$A$1:$A$100,"PETROCOCHINO",abr!$B$1:$B$100)+SUMIF(abr!$A$1:$A$100,"SANTA ISABEL",abr!$B$1:$B$100)</f>
        <v>240</v>
      </c>
      <c r="G60" s="30">
        <f>SUMIF(mai!$A$1:$A$100,"SENADOR",mai!$B$1:$B$100)+SUMIF(mai!$A$1:$A$100,"BARAO DE COTEGIPE",mai!$B$1:$B$100)+SUMIF(mai!$A$1:$A$100,"PETROCOCHINO",mai!$B$1:$B$100)+SUMIF(mai!$A$1:$A$100,"SANTA ISABEL",mai!$B$1:$B$100)</f>
        <v>247</v>
      </c>
      <c r="H60" s="30">
        <f>SUMIF(jun!$A$1:$A$100,"SENADOR",jun!$B$1:$B$100)+SUMIF(jun!$A$1:$A$100,"BARAO DE COTEGIPE",jun!$B$1:$B$100)+SUMIF(jun!$A$1:$A$100,"PETROCOCHINO",jun!$B$1:$B$100)+SUMIF(jun!$A$1:$A$100,"SANTA ISABEL",jun!$B$1:$B$100)</f>
        <v>257</v>
      </c>
      <c r="I60" s="30">
        <f>SUMIF(jul!$A$1:$A$100,"SENADOR",jul!$B$1:$B$100)+SUMIF(jul!$A$1:$A$100,"BARAO DE COTEGIPE",jul!$B$1:$B$100)+SUMIF(jul!$A$1:$A$100,"PETROCOCHINO",jul!$B$1:$B$100)+SUMIF(jul!$A$1:$A$100,"SANTA ISABEL",jul!$B$1:$B$100)</f>
        <v>274</v>
      </c>
      <c r="J60" s="30">
        <f>SUMIF(ago!$A$1:$A$100,"SENADOR",ago!$B$1:$B$100)+SUMIF(ago!$A$1:$A$100,"BARAO DE COTEGIPE",ago!$B$1:$B$100)+SUMIF(ago!$A$1:$A$100,"PETROCOCHINO",ago!$B$1:$B$100)+SUMIF(ago!$A$1:$A$100,"SANTA ISABEL",ago!$B$1:$B$100)</f>
        <v>281</v>
      </c>
      <c r="K60" s="30">
        <f>SUMIF(set!$A$1:$A$100,"SENADOR",set!$B$1:$B$100)+SUMIF(set!$A$1:$A$100,"BARAO DE COTEGIPE",set!$B$1:$B$100)+SUMIF(set!$A$1:$A$100,"PETROCOCHINO",set!$B$1:$B$100)+SUMIF(set!$A$1:$A$100,"SANTA ISABEL",set!$B$1:$B$100)</f>
        <v>0</v>
      </c>
      <c r="L60" s="30">
        <f>SUMIF(out!$A$1:$A$100,"SENADOR",out!$B$1:$B$100)+SUMIF(out!$A$1:$A$100,"BARAO DE COTEGIPE",out!$B$1:$B$100)+SUMIF(out!$A$1:$A$100,"PETROCOCHINO",out!$B$1:$B$100)+SUMIF(out!$A$1:$A$100,"SANTA ISABEL",out!$B$1:$B$100)</f>
        <v>0</v>
      </c>
      <c r="M60" s="30">
        <f>SUMIF(nov!$A$1:$A$100,"SENADOR",nov!$B$1:$B$100)+SUMIF(nov!$A$1:$A$100,"BARAO DE COTEGIPE",nov!$B$1:$B$100)+SUMIF(nov!$A$1:$A$100,"PETROCOCHINO",nov!$B$1:$B$100)+SUMIF(nov!$A$1:$A$100,"SANTA ISABEL",nov!$B$1:$B$100)</f>
        <v>0</v>
      </c>
      <c r="N60" s="30">
        <f>SUMIF(dez!$A$1:$A$100,"SENADOR",dez!$B$1:$B$100)+SUMIF(dez!$A$1:$A$100,"BARAO DE COTEGIPE",dez!$B$1:$B$100)+SUMIF(dez!$A$1:$A$100,"PETROCOCHINO",dez!$B$1:$B$100)+SUMIF(dez!$A$1:$A$100,"SANTA ISABEL",dez!$B$1:$B$100)</f>
        <v>0</v>
      </c>
      <c r="O60" s="30">
        <f t="shared" si="38"/>
        <v>706</v>
      </c>
      <c r="P60" s="30">
        <f t="shared" si="39"/>
        <v>744</v>
      </c>
      <c r="Q60" s="30">
        <f t="shared" si="40"/>
        <v>555</v>
      </c>
      <c r="R60" s="30">
        <f t="shared" si="41"/>
        <v>0</v>
      </c>
      <c r="S60" s="8"/>
      <c r="T60" s="8"/>
      <c r="U60" s="8"/>
      <c r="V60" s="8"/>
      <c r="W60" s="8"/>
      <c r="X60" s="8"/>
    </row>
    <row r="61">
      <c r="A61" s="31"/>
      <c r="B61" s="42" t="s">
        <v>183</v>
      </c>
      <c r="C61" s="30">
        <f>SUMIF(jan!$A$1:$A$100,"MIGUEL PEDRO",jan!$B$1:$B$100)+SUMIF(jan!$A$1:$A$100,"MANOEL DE ABREU",jan!$B$1:$B$100)+SUMIF(jan!$A$1:$A$100,"VILA OPERARIA ESF",jan!$B$1:$B$100)</f>
        <v>220</v>
      </c>
      <c r="D61" s="30">
        <f>SUMIF(fev!$A$1:$A$100,"MIGUEL PEDRO",fev!$B$1:$B$100)+SUMIF(fev!$A$1:$A$100,"MANOEL DE ABREU",fev!$B$1:$B$100)+SUMIF(fev!$A$1:$A$100,"VILA OPERARIA ESF",fev!$B$1:$B$100)</f>
        <v>220</v>
      </c>
      <c r="E61" s="30">
        <f>SUMIF(mar!$A$1:$A$100,"MIGUEL PEDRO",mar!$B$1:$B$100)+SUMIF(mar!$A$1:$A$100,"MANOEL DE ABREU",mar!$B$1:$B$100)+SUMIF(mar!$A$1:$A$100,"VILA OPERARIA ESF",mar!$B$1:$B$100)</f>
        <v>217</v>
      </c>
      <c r="F61" s="30">
        <f>SUMIF(abr!$A$1:$A$100,"MIGUEL PEDRO",abr!$B$1:$B$100)+SUMIF(abr!$A$1:$A$100,"MANOEL DE ABREU",abr!$B$1:$B$100)+SUMIF(abr!$A$1:$A$100,"VILA OPERARIA ESF",abr!$B$1:$B$100)</f>
        <v>218</v>
      </c>
      <c r="G61" s="30">
        <f>SUMIF(mai!$A$1:$A$100,"MIGUEL PEDRO",mai!$B$1:$B$100)+SUMIF(mai!$A$1:$A$100,"MANOEL DE ABREU",mai!$B$1:$B$100)+SUMIF(mai!$A$1:$A$100,"VILA OPERARIA ESF",mai!$B$1:$B$100)</f>
        <v>221</v>
      </c>
      <c r="H61" s="30">
        <f>SUMIF(jun!$A$1:$A$100,"MIGUEL PEDRO",jun!$B$1:$B$100)+SUMIF(jun!$A$1:$A$100,"MANOEL DE ABREU",jun!$B$1:$B$100)+SUMIF(jun!$A$1:$A$100,"VILA OPERARIA ESF",jun!$B$1:$B$100)</f>
        <v>224</v>
      </c>
      <c r="I61" s="30">
        <f>SUMIF(jul!$A$1:$A$100,"MIGUEL PEDRO",jul!$B$1:$B$100)+SUMIF(jul!$A$1:$A$100,"MANOEL DE ABREU",jul!$B$1:$B$100)+SUMIF(jul!$A$1:$A$100,"VILA OPERARIA ESF",jul!$B$1:$B$100)</f>
        <v>236</v>
      </c>
      <c r="J61" s="30">
        <f>SUMIF(ago!$A$1:$A$100,"MIGUEL PEDRO",ago!$B$1:$B$100)+SUMIF(ago!$A$1:$A$100,"MANOEL DE ABREU",ago!$B$1:$B$100)+SUMIF(ago!$A$1:$A$100,"VILA OPERARIA ESF",ago!$B$1:$B$100)</f>
        <v>248</v>
      </c>
      <c r="K61" s="30">
        <f>SUMIF(set!$A$1:$A$100,"MIGUEL PEDRO",set!$B$1:$B$100)+SUMIF(set!$A$1:$A$100,"MANOEL DE ABREU",set!$B$1:$B$100)+SUMIF(set!$A$1:$A$100,"VILA OPERARIA ESF",set!$B$1:$B$100)</f>
        <v>0</v>
      </c>
      <c r="L61" s="30">
        <f>SUMIF(out!$A$1:$A$100,"MIGUEL PEDRO",out!$B$1:$B$100)+SUMIF(out!$A$1:$A$100,"MANOEL DE ABREU",out!$B$1:$B$100)+SUMIF(out!$A$1:$A$100,"VILA OPERARIA ESF",out!$B$1:$B$100)</f>
        <v>0</v>
      </c>
      <c r="M61" s="30">
        <f>SUMIF(nov!$A$1:$A$100,"MIGUEL PEDRO",nov!$B$1:$B$100)+SUMIF(nov!$A$1:$A$100,"MANOEL DE ABREU",nov!$B$1:$B$100)+SUMIF(nov!$A$1:$A$100,"VILA OPERARIA ESF",nov!$B$1:$B$100)</f>
        <v>0</v>
      </c>
      <c r="N61" s="30">
        <f>SUMIF(dez!$A$1:$A$100,"MIGUEL PEDRO",dez!$B$1:$B$100)+SUMIF(dez!$A$1:$A$100,"MANOEL DE ABREU",dez!$B$1:$B$100)+SUMIF(dez!$A$1:$A$100,"VILA OPERARIA ESF",dez!$B$1:$B$100)</f>
        <v>0</v>
      </c>
      <c r="O61" s="30">
        <f t="shared" si="38"/>
        <v>657</v>
      </c>
      <c r="P61" s="30">
        <f t="shared" si="39"/>
        <v>663</v>
      </c>
      <c r="Q61" s="30">
        <f t="shared" si="40"/>
        <v>484</v>
      </c>
      <c r="R61" s="30">
        <f t="shared" si="41"/>
        <v>0</v>
      </c>
      <c r="S61" s="8"/>
      <c r="T61" s="8"/>
      <c r="U61" s="8"/>
      <c r="V61" s="8"/>
      <c r="W61" s="8"/>
      <c r="X61" s="8"/>
    </row>
    <row r="62">
      <c r="A62" s="32"/>
      <c r="B62" s="42" t="s">
        <v>184</v>
      </c>
      <c r="C62" s="30">
        <f>SUMIF(jan!$A$1:$A$100,"CONSELHEIRO",jan!$B$1:$B$100)+SUMIF(jan!$A$1:$A$100,"SOUZA FRANCO",jan!$B$1:$B$100)+SUMIF(jan!$A$1:$A$100,"VIA LACTEA",jan!$B$1:$B$100)</f>
        <v>208</v>
      </c>
      <c r="D62" s="30">
        <f>SUMIF(fev!$A$1:$A$100,"CONSELHEIRO",fev!$B$1:$B$100)+SUMIF(fev!$A$1:$A$100,"SOUZA FRANCO",fev!$B$1:$B$100)+SUMIF(fev!$A$1:$A$100,"VIA LACTEA",fev!$B$1:$B$100)</f>
        <v>210</v>
      </c>
      <c r="E62" s="30">
        <f>SUMIF(mar!$A$1:$A$100,"CONSELHEIRO",mar!$B$1:$B$100)+SUMIF(mar!$A$1:$A$100,"SOUZA FRANCO",mar!$B$1:$B$100)+SUMIF(mar!$A$1:$A$100,"VIA LACTEA",mar!$B$1:$B$100)</f>
        <v>222</v>
      </c>
      <c r="F62" s="30">
        <f>SUMIF(abr!$A$1:$A$100,"CONSELHEIRO",abr!$B$1:$B$100)+SUMIF(abr!$A$1:$A$100,"SOUZA FRANCO",abr!$B$1:$B$100)+SUMIF(abr!$A$1:$A$100,"VIA LACTEA",abr!$B$1:$B$100)</f>
        <v>228</v>
      </c>
      <c r="G62" s="30">
        <f>SUMIF(mai!$A$1:$A$100,"CONSELHEIRO",mai!$B$1:$B$100)+SUMIF(mai!$A$1:$A$100,"SOUZA FRANCO",mai!$B$1:$B$100)+SUMIF(mai!$A$1:$A$100,"VIA LACTEA",mai!$B$1:$B$100)</f>
        <v>236</v>
      </c>
      <c r="H62" s="30">
        <f>SUMIF(jun!$A$1:$A$100,"CONSELHEIRO",jun!$B$1:$B$100)+SUMIF(jun!$A$1:$A$100,"SOUZA FRANCO",jun!$B$1:$B$100)+SUMIF(jun!$A$1:$A$100,"VIA LACTEA",jun!$B$1:$B$100)</f>
        <v>243</v>
      </c>
      <c r="I62" s="30">
        <f>SUMIF(jul!$A$1:$A$100,"CONSELHEIRO",jul!$B$1:$B$100)+SUMIF(jul!$A$1:$A$100,"SOUZA FRANCO",jul!$B$1:$B$100)+SUMIF(jul!$A$1:$A$100,"VIA LACTEA",jul!$B$1:$B$100)</f>
        <v>258</v>
      </c>
      <c r="J62" s="30">
        <f>SUMIF(ago!$A$1:$A$100,"CONSELHEIRO",ago!$B$1:$B$100)+SUMIF(ago!$A$1:$A$100,"SOUZA FRANCO",ago!$B$1:$B$100)+SUMIF(ago!$A$1:$A$100,"VIA LACTEA",ago!$B$1:$B$100)</f>
        <v>268</v>
      </c>
      <c r="K62" s="30">
        <f>SUMIF(set!$A$1:$A$100,"CONSELHEIRO",set!$B$1:$B$100)+SUMIF(set!$A$1:$A$100,"SOUZA FRANCO",set!$B$1:$B$100)+SUMIF(set!$A$1:$A$100,"VIA LACTEA",set!$B$1:$B$100)</f>
        <v>0</v>
      </c>
      <c r="L62" s="30">
        <f>SUMIF(out!$A$1:$A$100,"CONSELHEIRO",out!$B$1:$B$100)+SUMIF(out!$A$1:$A$100,"SOUZA FRANCO",out!$B$1:$B$100)+SUMIF(out!$A$1:$A$100,"VIA LACTEA",out!$B$1:$B$100)</f>
        <v>0</v>
      </c>
      <c r="M62" s="30">
        <f>SUMIF(nov!$A$1:$A$100,"CONSELHEIRO",nov!$B$1:$B$100)+SUMIF(nov!$A$1:$A$100,"SOUZA FRANCO",nov!$B$1:$B$100)+SUMIF(nov!$A$1:$A$100,"VIA LACTEA",nov!$B$1:$B$100)</f>
        <v>0</v>
      </c>
      <c r="N62" s="30">
        <f>SUMIF(dez!$A$1:$A$100,"CONSELHEIRO",dez!$B$1:$B$100)+SUMIF(dez!$A$1:$A$100,"SOUZA FRANCO",dez!$B$1:$B$100)+SUMIF(dez!$A$1:$A$100,"VIA LACTEA",dez!$B$1:$B$100)</f>
        <v>0</v>
      </c>
      <c r="O62" s="30">
        <f t="shared" si="38"/>
        <v>640</v>
      </c>
      <c r="P62" s="30">
        <f t="shared" si="39"/>
        <v>707</v>
      </c>
      <c r="Q62" s="30">
        <f t="shared" si="40"/>
        <v>526</v>
      </c>
      <c r="R62" s="30">
        <f t="shared" si="41"/>
        <v>0</v>
      </c>
      <c r="S62" s="8"/>
      <c r="T62" s="8"/>
      <c r="U62" s="8"/>
      <c r="V62" s="8"/>
      <c r="W62" s="8"/>
      <c r="X62" s="8"/>
    </row>
    <row r="63">
      <c r="A63" s="43" t="s">
        <v>185</v>
      </c>
      <c r="B63" s="42" t="s">
        <v>186</v>
      </c>
      <c r="C63" s="30">
        <f>SUMIF(jan!$A$1:$A$100,"BOA VISTA",jan!$B$1:$B$100)+SUMIF(jan!$A$1:$A$100,"FLORESTA DA TIJUCA",jan!$B$1:$B$100)+SUMIF(jan!$A$1:$A$100,"CACHOEIRA",jan!$B$1:$B$100)</f>
        <v>344</v>
      </c>
      <c r="D63" s="30">
        <f>SUMIF(fev!$A$1:$A$100,"BOA VISTA",fev!$B$1:$B$100)+SUMIF(fev!$A$1:$A$100,"FLORESTA DA TIJUCA",fev!$B$1:$B$100)+SUMIF(fev!$A$1:$A$100,"CACHOEIRA",fev!$B$1:$B$100)</f>
        <v>341</v>
      </c>
      <c r="E63" s="30">
        <f>SUMIF(mar!$A$1:$A$100,"BOA VISTA",mar!$B$1:$B$100)+SUMIF(mar!$A$1:$A$100,"FLORESTA DA TIJUCA",mar!$B$1:$B$100)+SUMIF(mar!$A$1:$A$100,"CACHOEIRA",mar!$B$1:$B$100)</f>
        <v>343</v>
      </c>
      <c r="F63" s="30">
        <f>SUMIF(abr!$A$1:$A$100,"BOA VISTA",abr!$B$1:$B$100)+SUMIF(abr!$A$1:$A$100,"FLORESTA DA TIJUCA",abr!$B$1:$B$100)+SUMIF(abr!$A$1:$A$100,"CACHOEIRA",abr!$B$1:$B$100)</f>
        <v>341</v>
      </c>
      <c r="G63" s="30">
        <f>SUMIF(mai!$A$1:$A$100,"BOA VISTA",mai!$B$1:$B$100)+SUMIF(mai!$A$1:$A$100,"FLORESTA DA TIJUCA",mai!$B$1:$B$100)+SUMIF(mai!$A$1:$A$100,"CACHOEIRA",mai!$B$1:$B$100)</f>
        <v>355</v>
      </c>
      <c r="H63" s="30">
        <f>SUMIF(jun!$A$1:$A$100,"BOA VISTA",jun!$B$1:$B$100)+SUMIF(jun!$A$1:$A$100,"FLORESTA DA TIJUCA",jun!$B$1:$B$100)+SUMIF(jun!$A$1:$A$100,"CACHOEIRA",jun!$B$1:$B$100)</f>
        <v>340</v>
      </c>
      <c r="I63" s="30">
        <f>SUMIF(jul!$A$1:$A$100,"BOA VISTA",jul!$B$1:$B$100)+SUMIF(jul!$A$1:$A$100,"FLORESTA DA TIJUCA",jul!$B$1:$B$100)+SUMIF(jul!$A$1:$A$100,"CACHOEIRA",jul!$B$1:$B$100)</f>
        <v>353</v>
      </c>
      <c r="J63" s="30">
        <f>SUMIF(ago!$A$1:$A$100,"BOA VISTA",ago!$B$1:$B$100)+SUMIF(ago!$A$1:$A$100,"FLORESTA DA TIJUCA",ago!$B$1:$B$100)+SUMIF(ago!$A$1:$A$100,"CACHOEIRA",ago!$B$1:$B$100)</f>
        <v>353</v>
      </c>
      <c r="K63" s="30">
        <f>SUMIF(set!$A$1:$A$100,"BOA VISTA",set!$B$1:$B$100)+SUMIF(set!$A$1:$A$100,"FLORESTA DA TIJUCA",set!$B$1:$B$100)+SUMIF(set!$A$1:$A$100,"CACHOEIRA",set!$B$1:$B$100)</f>
        <v>0</v>
      </c>
      <c r="L63" s="30">
        <f>SUMIF(out!$A$1:$A$100,"BOA VISTA",out!$B$1:$B$100)+SUMIF(out!$A$1:$A$100,"FLORESTA DA TIJUCA",out!$B$1:$B$100)+SUMIF(out!$A$1:$A$100,"CACHOEIRA",out!$B$1:$B$100)</f>
        <v>0</v>
      </c>
      <c r="M63" s="30">
        <f>SUMIF(nov!$A$1:$A$100,"BOA VISTA",nov!$B$1:$B$100)+SUMIF(nov!$A$1:$A$100,"FLORESTA DA TIJUCA",nov!$B$1:$B$100)+SUMIF(nov!$A$1:$A$100,"CACHOEIRA",nov!$B$1:$B$100)</f>
        <v>0</v>
      </c>
      <c r="N63" s="30">
        <f>SUMIF(dez!$A$1:$A$100,"BOA VISTA",dez!$B$1:$B$100)+SUMIF(dez!$A$1:$A$100,"FLORESTA DA TIJUCA",dez!$B$1:$B$100)+SUMIF(dez!$A$1:$A$100,"CACHOEIRA",dez!$B$1:$B$100)</f>
        <v>0</v>
      </c>
      <c r="O63" s="30">
        <f t="shared" si="38"/>
        <v>1028</v>
      </c>
      <c r="P63" s="30">
        <f t="shared" si="39"/>
        <v>1036</v>
      </c>
      <c r="Q63" s="30">
        <f t="shared" si="40"/>
        <v>706</v>
      </c>
      <c r="R63" s="30">
        <f t="shared" si="41"/>
        <v>0</v>
      </c>
      <c r="S63" s="8"/>
      <c r="T63" s="8"/>
      <c r="U63" s="8"/>
      <c r="V63" s="8"/>
      <c r="W63" s="8"/>
      <c r="X63" s="8"/>
    </row>
    <row r="64">
      <c r="A64" s="43" t="s">
        <v>187</v>
      </c>
      <c r="B64" s="42" t="s">
        <v>188</v>
      </c>
      <c r="C64" s="30">
        <f>SUMIF(jan!$A$1:$A$100,"RAIA",jan!$B$1:$B$100)+SUMIF(jan!$A$1:$A$100,"CASCATA",jan!$B$1:$B$100)</f>
        <v>196</v>
      </c>
      <c r="D64" s="30">
        <f>SUMIF(fev!$A$1:$A$100,"RAIA",fev!$B$1:$B$100)+SUMIF(fev!$A$1:$A$100,"CASCATA",fev!$B$1:$B$100)</f>
        <v>196</v>
      </c>
      <c r="E64" s="30">
        <f>SUMIF(mar!$A$1:$A$100,"RAIA",mar!$B$1:$B$100)+SUMIF(mar!$A$1:$A$100,"CASCATA",mar!$B$1:$B$100)</f>
        <v>197</v>
      </c>
      <c r="F64" s="30">
        <f>SUMIF(abr!$A$1:$A$100,"RAIA",abr!$B$1:$B$100)+SUMIF(abr!$A$1:$A$100,"CASCATA",abr!$B$1:$B$100)</f>
        <v>196</v>
      </c>
      <c r="G64" s="30">
        <f>SUMIF(mai!$A$1:$A$100,"RAIA",mai!$B$1:$B$100)+SUMIF(mai!$A$1:$A$100,"CASCATA",mai!$B$1:$B$100)</f>
        <v>191</v>
      </c>
      <c r="H64" s="30">
        <f>SUMIF(jun!$A$1:$A$100,"RAIA",jun!$B$1:$B$100)+SUMIF(jun!$A$1:$A$100,"CASCATA",jun!$B$1:$B$100)</f>
        <v>189</v>
      </c>
      <c r="I64" s="30">
        <f>SUMIF(jul!$A$1:$A$100,"RAIA",jul!$B$1:$B$100)+SUMIF(jul!$A$1:$A$100,"CASCATA",jul!$B$1:$B$100)</f>
        <v>188</v>
      </c>
      <c r="J64" s="30">
        <f>SUMIF(ago!$A$1:$A$100,"RAIA",ago!$B$1:$B$100)+SUMIF(ago!$A$1:$A$100,"CASCATA",ago!$B$1:$B$100)</f>
        <v>182</v>
      </c>
      <c r="K64" s="30">
        <f>SUMIF(set!$A$1:$A$100,"RAIA",set!$B$1:$B$100)+SUMIF(set!$A$1:$A$100,"CASCATA",set!$B$1:$B$100)</f>
        <v>0</v>
      </c>
      <c r="L64" s="30">
        <f>SUMIF(out!$A$1:$A$100,"RAIA",out!$B$1:$B$100)+SUMIF(out!$A$1:$A$100,"CASCATA",out!$B$1:$B$100)</f>
        <v>0</v>
      </c>
      <c r="M64" s="30">
        <f>SUMIF(nov!$A$1:$A$100,"RAIA",nov!$B$1:$B$100)+SUMIF(nov!$A$1:$A$100,"CASCATA",nov!$B$1:$B$100)</f>
        <v>0</v>
      </c>
      <c r="N64" s="30">
        <f>SUMIF(dez!$A$1:$A$100,"RAIA",dez!$B$1:$B$100)+SUMIF(dez!$A$1:$A$100,"CASCATA",dez!$B$1:$B$100)</f>
        <v>0</v>
      </c>
      <c r="O64" s="30">
        <f t="shared" si="38"/>
        <v>589</v>
      </c>
      <c r="P64" s="30">
        <f t="shared" si="39"/>
        <v>576</v>
      </c>
      <c r="Q64" s="30">
        <f t="shared" si="40"/>
        <v>370</v>
      </c>
      <c r="R64" s="30">
        <f t="shared" si="41"/>
        <v>0</v>
      </c>
      <c r="S64" s="8"/>
      <c r="T64" s="8"/>
      <c r="U64" s="8"/>
      <c r="V64" s="8"/>
      <c r="W64" s="8"/>
      <c r="X64" s="8"/>
    </row>
    <row r="65">
      <c r="A65" s="43" t="s">
        <v>146</v>
      </c>
      <c r="B65" s="44"/>
      <c r="C65" s="30">
        <f>SUMIF(jan!$A$1:$A$100,"*AP 22",jan!$B$1:$B$100)</f>
        <v>4179</v>
      </c>
      <c r="D65" s="30">
        <f>SUMIF(fev!$A$1:$A$100,"*AP 22",fev!$B$1:$B$100)</f>
        <v>4233</v>
      </c>
      <c r="E65" s="30">
        <f>SUMIF(mar!$A$1:$A$100,"*AP 22",mar!$B$1:$B$100)</f>
        <v>4333</v>
      </c>
      <c r="F65" s="30">
        <f>SUMIF(abr!$A$1:$A$100,"*AP 22",abr!$B$1:$B$100)</f>
        <v>4366</v>
      </c>
      <c r="G65" s="30">
        <f>SUMIF(mai!$A$1:$A$100,"*AP 22",mai!$B$1:$B$100)</f>
        <v>4472</v>
      </c>
      <c r="H65" s="30">
        <f>SUMIF(jun!$A$1:$A$100,"*AP 22",jun!$B$1:$B$100)</f>
        <v>4458</v>
      </c>
      <c r="I65" s="30">
        <f>SUMIF(jul!$A$1:$A$100,"*AP 22",jul!$B$1:$B$100)</f>
        <v>4516</v>
      </c>
      <c r="J65" s="30">
        <f>SUMIF(ago!$A$1:$A$100,"*AP 22",ago!$B$1:$B$100)</f>
        <v>4591</v>
      </c>
      <c r="K65" s="30">
        <f>SUMIF(set!$A$1:$A$100,"*AP 22",set!$B$1:$B$100)</f>
        <v>0</v>
      </c>
      <c r="L65" s="30">
        <f>SUMIF(out!$A$1:$A$100,"*AP 22",out!$B$1:$B$100)</f>
        <v>0</v>
      </c>
      <c r="M65" s="30">
        <f>SUMIF(nov!$A$1:$A$100,"*AP 22",nov!$B$1:$B$100)</f>
        <v>0</v>
      </c>
      <c r="N65" s="30">
        <f>SUMIF(dez!$A$1:$A$100,"*AP 22",dez!$B$1:$B$100)</f>
        <v>0</v>
      </c>
      <c r="O65" s="30">
        <f t="shared" si="38"/>
        <v>12745</v>
      </c>
      <c r="P65" s="30">
        <f t="shared" si="39"/>
        <v>13296</v>
      </c>
      <c r="Q65" s="30">
        <f t="shared" si="40"/>
        <v>9107</v>
      </c>
      <c r="R65" s="30">
        <f t="shared" si="41"/>
        <v>0</v>
      </c>
      <c r="S65" s="8"/>
      <c r="T65" s="8"/>
      <c r="U65" s="8"/>
      <c r="V65" s="8"/>
      <c r="W65" s="8"/>
      <c r="X65" s="8"/>
    </row>
    <row r="66">
      <c r="A66" s="46"/>
      <c r="B66" s="8"/>
      <c r="C66" s="45">
        <f t="shared" ref="C66:N66" si="43">SUM(C44:C64)</f>
        <v>4179</v>
      </c>
      <c r="D66" s="45">
        <f t="shared" si="43"/>
        <v>4233</v>
      </c>
      <c r="E66" s="45">
        <f t="shared" si="43"/>
        <v>4333</v>
      </c>
      <c r="F66" s="45">
        <f t="shared" si="43"/>
        <v>4366</v>
      </c>
      <c r="G66" s="45">
        <f t="shared" si="43"/>
        <v>4472</v>
      </c>
      <c r="H66" s="45">
        <f t="shared" si="43"/>
        <v>4458</v>
      </c>
      <c r="I66" s="45">
        <f t="shared" si="43"/>
        <v>4516</v>
      </c>
      <c r="J66" s="45">
        <f t="shared" si="43"/>
        <v>4591</v>
      </c>
      <c r="K66" s="45">
        <f t="shared" si="43"/>
        <v>0</v>
      </c>
      <c r="L66" s="45">
        <f t="shared" si="43"/>
        <v>0</v>
      </c>
      <c r="M66" s="45">
        <f t="shared" si="43"/>
        <v>0</v>
      </c>
      <c r="N66" s="45">
        <f t="shared" si="43"/>
        <v>0</v>
      </c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46" t="s">
        <v>191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47"/>
      <c r="B68" s="13" t="s">
        <v>192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8"/>
      <c r="Q68" s="8"/>
      <c r="R68" s="8"/>
      <c r="S68" s="8"/>
      <c r="T68" s="8"/>
      <c r="U68" s="8"/>
      <c r="V68" s="8"/>
      <c r="W68" s="8"/>
      <c r="X68" s="8"/>
    </row>
    <row r="69">
      <c r="A69" s="48"/>
      <c r="B69" s="49" t="s">
        <v>30</v>
      </c>
      <c r="C69" s="26"/>
      <c r="D69" s="17" t="s">
        <v>35</v>
      </c>
      <c r="E69" s="17" t="s">
        <v>38</v>
      </c>
      <c r="F69" s="17" t="s">
        <v>39</v>
      </c>
      <c r="G69" s="17" t="s">
        <v>41</v>
      </c>
      <c r="H69" s="17" t="s">
        <v>42</v>
      </c>
      <c r="I69" s="17" t="s">
        <v>43</v>
      </c>
      <c r="J69" s="17" t="s">
        <v>45</v>
      </c>
      <c r="K69" s="17" t="s">
        <v>46</v>
      </c>
      <c r="L69" s="17" t="s">
        <v>47</v>
      </c>
      <c r="M69" s="17" t="s">
        <v>49</v>
      </c>
      <c r="N69" s="17" t="s">
        <v>50</v>
      </c>
      <c r="O69" s="17" t="s">
        <v>51</v>
      </c>
      <c r="P69" s="18" t="s">
        <v>53</v>
      </c>
      <c r="Q69" s="18" t="s">
        <v>55</v>
      </c>
      <c r="R69" s="18" t="s">
        <v>56</v>
      </c>
      <c r="S69" s="18" t="s">
        <v>57</v>
      </c>
      <c r="T69" s="8"/>
      <c r="U69" s="8"/>
      <c r="V69" s="8"/>
      <c r="W69" s="8"/>
      <c r="X69" s="8"/>
      <c r="Y69" s="8"/>
    </row>
    <row r="70">
      <c r="A70" s="50"/>
      <c r="B70" s="28" t="s">
        <v>149</v>
      </c>
      <c r="C70" s="29" t="s">
        <v>150</v>
      </c>
      <c r="D70" s="21">
        <f t="shared" ref="D70:S70" si="44">IF(C44=0,"-",C18/C44)</f>
        <v>0.1842105263</v>
      </c>
      <c r="E70" s="21">
        <f t="shared" si="44"/>
        <v>0.2051282051</v>
      </c>
      <c r="F70" s="21">
        <f t="shared" si="44"/>
        <v>0.1398601399</v>
      </c>
      <c r="G70" s="21">
        <f t="shared" si="44"/>
        <v>0.1538461538</v>
      </c>
      <c r="H70" s="21">
        <f t="shared" si="44"/>
        <v>0.154589372</v>
      </c>
      <c r="I70" s="21">
        <f t="shared" si="44"/>
        <v>0.2080536913</v>
      </c>
      <c r="J70" s="21">
        <f t="shared" si="44"/>
        <v>0.2732919255</v>
      </c>
      <c r="K70" s="21">
        <f t="shared" si="44"/>
        <v>0.2934131737</v>
      </c>
      <c r="L70" s="21" t="str">
        <f t="shared" si="44"/>
        <v>-</v>
      </c>
      <c r="M70" s="21" t="str">
        <f t="shared" si="44"/>
        <v>-</v>
      </c>
      <c r="N70" s="21" t="str">
        <f t="shared" si="44"/>
        <v>-</v>
      </c>
      <c r="O70" s="21" t="str">
        <f t="shared" si="44"/>
        <v>-</v>
      </c>
      <c r="P70" s="21">
        <f t="shared" si="44"/>
        <v>0.1683501684</v>
      </c>
      <c r="Q70" s="21">
        <f t="shared" si="44"/>
        <v>0.1703406814</v>
      </c>
      <c r="R70" s="21">
        <f t="shared" si="44"/>
        <v>0.2835365854</v>
      </c>
      <c r="S70" s="21" t="str">
        <f t="shared" si="44"/>
        <v>-</v>
      </c>
      <c r="T70" s="8"/>
      <c r="U70" s="8"/>
      <c r="V70" s="8"/>
      <c r="W70" s="8"/>
      <c r="X70" s="8"/>
      <c r="Y70" s="8"/>
    </row>
    <row r="71">
      <c r="A71" s="50"/>
      <c r="B71" s="31"/>
      <c r="C71" s="29" t="s">
        <v>151</v>
      </c>
      <c r="D71" s="21">
        <f t="shared" ref="D71:S71" si="45">IF(C45=0,"-",C19/C45)</f>
        <v>0.4788732394</v>
      </c>
      <c r="E71" s="21">
        <f t="shared" si="45"/>
        <v>0.4825174825</v>
      </c>
      <c r="F71" s="21">
        <f t="shared" si="45"/>
        <v>0.4759036145</v>
      </c>
      <c r="G71" s="21">
        <f t="shared" si="45"/>
        <v>0.4727272727</v>
      </c>
      <c r="H71" s="21">
        <f t="shared" si="45"/>
        <v>0.3619631902</v>
      </c>
      <c r="I71" s="21">
        <f t="shared" si="45"/>
        <v>0.2882352941</v>
      </c>
      <c r="J71" s="21">
        <f t="shared" si="45"/>
        <v>0.3053892216</v>
      </c>
      <c r="K71" s="21">
        <f t="shared" si="45"/>
        <v>0.2470588235</v>
      </c>
      <c r="L71" s="21" t="str">
        <f t="shared" si="45"/>
        <v>-</v>
      </c>
      <c r="M71" s="21" t="str">
        <f t="shared" si="45"/>
        <v>-</v>
      </c>
      <c r="N71" s="21" t="str">
        <f t="shared" si="45"/>
        <v>-</v>
      </c>
      <c r="O71" s="21" t="str">
        <f t="shared" si="45"/>
        <v>-</v>
      </c>
      <c r="P71" s="21">
        <f t="shared" si="45"/>
        <v>0.4789356984</v>
      </c>
      <c r="Q71" s="21">
        <f t="shared" si="45"/>
        <v>0.3734939759</v>
      </c>
      <c r="R71" s="21">
        <f t="shared" si="45"/>
        <v>0.2759643917</v>
      </c>
      <c r="S71" s="21" t="str">
        <f t="shared" si="45"/>
        <v>-</v>
      </c>
      <c r="T71" s="8"/>
      <c r="U71" s="8"/>
      <c r="V71" s="8"/>
      <c r="W71" s="8"/>
      <c r="X71" s="8"/>
      <c r="Y71" s="8"/>
    </row>
    <row r="72">
      <c r="A72" s="50"/>
      <c r="B72" s="31"/>
      <c r="C72" s="29" t="s">
        <v>153</v>
      </c>
      <c r="D72" s="21">
        <f t="shared" ref="D72:S72" si="46">IF(C46=0,"-",C20/C46)</f>
        <v>0.3</v>
      </c>
      <c r="E72" s="21">
        <f t="shared" si="46"/>
        <v>0.3203125</v>
      </c>
      <c r="F72" s="21">
        <f t="shared" si="46"/>
        <v>0.2777777778</v>
      </c>
      <c r="G72" s="21">
        <f t="shared" si="46"/>
        <v>0.2578125</v>
      </c>
      <c r="H72" s="21">
        <f t="shared" si="46"/>
        <v>0.2720588235</v>
      </c>
      <c r="I72" s="21">
        <f t="shared" si="46"/>
        <v>0.2714285714</v>
      </c>
      <c r="J72" s="21">
        <f t="shared" si="46"/>
        <v>0.2647058824</v>
      </c>
      <c r="K72" s="21">
        <f t="shared" si="46"/>
        <v>0.2536231884</v>
      </c>
      <c r="L72" s="21" t="str">
        <f t="shared" si="46"/>
        <v>-</v>
      </c>
      <c r="M72" s="21" t="str">
        <f t="shared" si="46"/>
        <v>-</v>
      </c>
      <c r="N72" s="21" t="str">
        <f t="shared" si="46"/>
        <v>-</v>
      </c>
      <c r="O72" s="21" t="str">
        <f t="shared" si="46"/>
        <v>-</v>
      </c>
      <c r="P72" s="21">
        <f t="shared" si="46"/>
        <v>0.2994791667</v>
      </c>
      <c r="Q72" s="21">
        <f t="shared" si="46"/>
        <v>0.2673267327</v>
      </c>
      <c r="R72" s="21">
        <f t="shared" si="46"/>
        <v>0.2591240876</v>
      </c>
      <c r="S72" s="21" t="str">
        <f t="shared" si="46"/>
        <v>-</v>
      </c>
      <c r="T72" s="8"/>
      <c r="U72" s="8"/>
      <c r="V72" s="8"/>
      <c r="W72" s="8"/>
      <c r="X72" s="8"/>
      <c r="Y72" s="8"/>
    </row>
    <row r="73">
      <c r="A73" s="50"/>
      <c r="B73" s="32"/>
      <c r="C73" s="29" t="s">
        <v>155</v>
      </c>
      <c r="D73" s="21">
        <f t="shared" ref="D73:S73" si="47">IF(C47=0,"-",C21/C47)</f>
        <v>0.2357723577</v>
      </c>
      <c r="E73" s="21">
        <f t="shared" si="47"/>
        <v>0.2338709677</v>
      </c>
      <c r="F73" s="21">
        <f t="shared" si="47"/>
        <v>0.2314049587</v>
      </c>
      <c r="G73" s="21">
        <f t="shared" si="47"/>
        <v>0.2372881356</v>
      </c>
      <c r="H73" s="21">
        <f t="shared" si="47"/>
        <v>0.225</v>
      </c>
      <c r="I73" s="21">
        <f t="shared" si="47"/>
        <v>0.1904761905</v>
      </c>
      <c r="J73" s="21">
        <f t="shared" si="47"/>
        <v>0.1818181818</v>
      </c>
      <c r="K73" s="21">
        <f t="shared" si="47"/>
        <v>0.1870503597</v>
      </c>
      <c r="L73" s="21" t="str">
        <f t="shared" si="47"/>
        <v>-</v>
      </c>
      <c r="M73" s="21" t="str">
        <f t="shared" si="47"/>
        <v>-</v>
      </c>
      <c r="N73" s="21" t="str">
        <f t="shared" si="47"/>
        <v>-</v>
      </c>
      <c r="O73" s="21" t="str">
        <f t="shared" si="47"/>
        <v>-</v>
      </c>
      <c r="P73" s="21">
        <f t="shared" si="47"/>
        <v>0.2336956522</v>
      </c>
      <c r="Q73" s="21">
        <f t="shared" si="47"/>
        <v>0.217032967</v>
      </c>
      <c r="R73" s="21">
        <f t="shared" si="47"/>
        <v>0.184501845</v>
      </c>
      <c r="S73" s="21" t="str">
        <f t="shared" si="47"/>
        <v>-</v>
      </c>
      <c r="T73" s="8"/>
      <c r="U73" s="8"/>
      <c r="V73" s="8"/>
      <c r="W73" s="8"/>
      <c r="X73" s="8"/>
      <c r="Y73" s="8"/>
    </row>
    <row r="74">
      <c r="A74" s="50"/>
      <c r="B74" s="41" t="s">
        <v>193</v>
      </c>
      <c r="C74" s="29" t="s">
        <v>158</v>
      </c>
      <c r="D74" s="21">
        <f t="shared" ref="D74:S74" si="48">IF(C48=0,"-",C22/C48)</f>
        <v>0.2588235294</v>
      </c>
      <c r="E74" s="21">
        <f t="shared" si="48"/>
        <v>0.269005848</v>
      </c>
      <c r="F74" s="21">
        <f t="shared" si="48"/>
        <v>0.3121387283</v>
      </c>
      <c r="G74" s="21">
        <f t="shared" si="48"/>
        <v>0.3179190751</v>
      </c>
      <c r="H74" s="21">
        <f t="shared" si="48"/>
        <v>0.3463687151</v>
      </c>
      <c r="I74" s="21">
        <f t="shared" si="48"/>
        <v>0.3722222222</v>
      </c>
      <c r="J74" s="21">
        <f t="shared" si="48"/>
        <v>0.3615819209</v>
      </c>
      <c r="K74" s="21">
        <f t="shared" si="48"/>
        <v>0.3670212766</v>
      </c>
      <c r="L74" s="21" t="str">
        <f t="shared" si="48"/>
        <v>-</v>
      </c>
      <c r="M74" s="21" t="str">
        <f t="shared" si="48"/>
        <v>-</v>
      </c>
      <c r="N74" s="21" t="str">
        <f t="shared" si="48"/>
        <v>-</v>
      </c>
      <c r="O74" s="21" t="str">
        <f t="shared" si="48"/>
        <v>-</v>
      </c>
      <c r="P74" s="21">
        <f t="shared" si="48"/>
        <v>0.280155642</v>
      </c>
      <c r="Q74" s="21">
        <f t="shared" si="48"/>
        <v>0.3458646617</v>
      </c>
      <c r="R74" s="21">
        <f t="shared" si="48"/>
        <v>0.3643835616</v>
      </c>
      <c r="S74" s="21" t="str">
        <f t="shared" si="48"/>
        <v>-</v>
      </c>
      <c r="T74" s="8"/>
      <c r="U74" s="8"/>
      <c r="V74" s="8"/>
      <c r="W74" s="8"/>
      <c r="X74" s="8"/>
      <c r="Y74" s="8"/>
    </row>
    <row r="75">
      <c r="A75" s="50"/>
      <c r="B75" s="32"/>
      <c r="C75" s="29" t="s">
        <v>166</v>
      </c>
      <c r="D75" s="21">
        <f t="shared" ref="D75:S75" si="49">IF(C49=0,"-",C23/C49)</f>
        <v>0.2911392405</v>
      </c>
      <c r="E75" s="21">
        <f t="shared" si="49"/>
        <v>0.2831325301</v>
      </c>
      <c r="F75" s="21">
        <f t="shared" si="49"/>
        <v>0.2409638554</v>
      </c>
      <c r="G75" s="21">
        <f t="shared" si="49"/>
        <v>0.2529411765</v>
      </c>
      <c r="H75" s="21">
        <f t="shared" si="49"/>
        <v>0.2682926829</v>
      </c>
      <c r="I75" s="21">
        <f t="shared" si="49"/>
        <v>0.2916666667</v>
      </c>
      <c r="J75" s="21">
        <f t="shared" si="49"/>
        <v>0.2743902439</v>
      </c>
      <c r="K75" s="21">
        <f t="shared" si="49"/>
        <v>0.265060241</v>
      </c>
      <c r="L75" s="21" t="str">
        <f t="shared" si="49"/>
        <v>-</v>
      </c>
      <c r="M75" s="21" t="str">
        <f t="shared" si="49"/>
        <v>-</v>
      </c>
      <c r="N75" s="21" t="str">
        <f t="shared" si="49"/>
        <v>-</v>
      </c>
      <c r="O75" s="21" t="str">
        <f t="shared" si="49"/>
        <v>-</v>
      </c>
      <c r="P75" s="21">
        <f t="shared" si="49"/>
        <v>0.2714285714</v>
      </c>
      <c r="Q75" s="21">
        <f t="shared" si="49"/>
        <v>0.2709163347</v>
      </c>
      <c r="R75" s="21">
        <f t="shared" si="49"/>
        <v>0.2696969697</v>
      </c>
      <c r="S75" s="21" t="str">
        <f t="shared" si="49"/>
        <v>-</v>
      </c>
      <c r="T75" s="8"/>
      <c r="U75" s="8"/>
      <c r="V75" s="8"/>
      <c r="W75" s="8"/>
      <c r="X75" s="8"/>
      <c r="Y75" s="8"/>
    </row>
    <row r="76">
      <c r="A76" s="50"/>
      <c r="B76" s="41" t="s">
        <v>194</v>
      </c>
      <c r="C76" s="29" t="s">
        <v>168</v>
      </c>
      <c r="D76" s="21">
        <f t="shared" ref="D76:S76" si="50">IF(C50=0,"-",C24/C50)</f>
        <v>0.3164893617</v>
      </c>
      <c r="E76" s="21">
        <f t="shared" si="50"/>
        <v>0.2963917526</v>
      </c>
      <c r="F76" s="21">
        <f t="shared" si="50"/>
        <v>0.3076923077</v>
      </c>
      <c r="G76" s="21">
        <f t="shared" si="50"/>
        <v>0.2936708861</v>
      </c>
      <c r="H76" s="21">
        <f t="shared" si="50"/>
        <v>0.2893401015</v>
      </c>
      <c r="I76" s="21">
        <f t="shared" si="50"/>
        <v>0.3045685279</v>
      </c>
      <c r="J76" s="21">
        <f t="shared" si="50"/>
        <v>0.3054830287</v>
      </c>
      <c r="K76" s="21">
        <f t="shared" si="50"/>
        <v>0.3163265306</v>
      </c>
      <c r="L76" s="21" t="str">
        <f t="shared" si="50"/>
        <v>-</v>
      </c>
      <c r="M76" s="21" t="str">
        <f t="shared" si="50"/>
        <v>-</v>
      </c>
      <c r="N76" s="21" t="str">
        <f t="shared" si="50"/>
        <v>-</v>
      </c>
      <c r="O76" s="21" t="str">
        <f t="shared" si="50"/>
        <v>-</v>
      </c>
      <c r="P76" s="21">
        <f t="shared" si="50"/>
        <v>0.3067590988</v>
      </c>
      <c r="Q76" s="21">
        <f t="shared" si="50"/>
        <v>0.2958579882</v>
      </c>
      <c r="R76" s="21">
        <f t="shared" si="50"/>
        <v>0.3109677419</v>
      </c>
      <c r="S76" s="21" t="str">
        <f t="shared" si="50"/>
        <v>-</v>
      </c>
      <c r="T76" s="8"/>
      <c r="U76" s="8"/>
      <c r="V76" s="8"/>
      <c r="W76" s="8"/>
      <c r="X76" s="8"/>
      <c r="Y76" s="8"/>
    </row>
    <row r="77">
      <c r="A77" s="50"/>
      <c r="B77" s="32"/>
      <c r="C77" s="29" t="s">
        <v>169</v>
      </c>
      <c r="D77" s="21">
        <f t="shared" ref="D77:S77" si="51">IF(C51=0,"-",C25/C51)</f>
        <v>0.3257261411</v>
      </c>
      <c r="E77" s="21">
        <f t="shared" si="51"/>
        <v>0.3273092369</v>
      </c>
      <c r="F77" s="21">
        <f t="shared" si="51"/>
        <v>0.3267716535</v>
      </c>
      <c r="G77" s="21">
        <f t="shared" si="51"/>
        <v>0.3287671233</v>
      </c>
      <c r="H77" s="21">
        <f t="shared" si="51"/>
        <v>0.3281853282</v>
      </c>
      <c r="I77" s="21">
        <f t="shared" si="51"/>
        <v>0.3245283019</v>
      </c>
      <c r="J77" s="21">
        <f t="shared" si="51"/>
        <v>0.3296089385</v>
      </c>
      <c r="K77" s="21">
        <f t="shared" si="51"/>
        <v>0.3272727273</v>
      </c>
      <c r="L77" s="21" t="str">
        <f t="shared" si="51"/>
        <v>-</v>
      </c>
      <c r="M77" s="21" t="str">
        <f t="shared" si="51"/>
        <v>-</v>
      </c>
      <c r="N77" s="21" t="str">
        <f t="shared" si="51"/>
        <v>-</v>
      </c>
      <c r="O77" s="21" t="str">
        <f t="shared" si="51"/>
        <v>-</v>
      </c>
      <c r="P77" s="21">
        <f t="shared" si="51"/>
        <v>0.3266129032</v>
      </c>
      <c r="Q77" s="21">
        <f t="shared" si="51"/>
        <v>0.3271327774</v>
      </c>
      <c r="R77" s="21">
        <f t="shared" si="51"/>
        <v>0.3284268629</v>
      </c>
      <c r="S77" s="21" t="str">
        <f t="shared" si="51"/>
        <v>-</v>
      </c>
      <c r="T77" s="8"/>
      <c r="U77" s="8"/>
      <c r="V77" s="8"/>
      <c r="W77" s="8"/>
      <c r="X77" s="8"/>
      <c r="Y77" s="8"/>
    </row>
    <row r="78">
      <c r="A78" s="50"/>
      <c r="B78" s="36" t="s">
        <v>170</v>
      </c>
      <c r="C78" s="29" t="s">
        <v>171</v>
      </c>
      <c r="D78" s="21">
        <f t="shared" ref="D78:S78" si="52">IF(C52=0,"-",C26/C52)</f>
        <v>0.1806451613</v>
      </c>
      <c r="E78" s="21">
        <f t="shared" si="52"/>
        <v>0.1935483871</v>
      </c>
      <c r="F78" s="21">
        <f t="shared" si="52"/>
        <v>0.2201257862</v>
      </c>
      <c r="G78" s="21">
        <f t="shared" si="52"/>
        <v>0.2121212121</v>
      </c>
      <c r="H78" s="21">
        <f t="shared" si="52"/>
        <v>0.1790123457</v>
      </c>
      <c r="I78" s="21">
        <f t="shared" si="52"/>
        <v>0.2321428571</v>
      </c>
      <c r="J78" s="21">
        <f t="shared" si="52"/>
        <v>0.2678571429</v>
      </c>
      <c r="K78" s="21">
        <f t="shared" si="52"/>
        <v>0.3117647059</v>
      </c>
      <c r="L78" s="21" t="str">
        <f t="shared" si="52"/>
        <v>-</v>
      </c>
      <c r="M78" s="21" t="str">
        <f t="shared" si="52"/>
        <v>-</v>
      </c>
      <c r="N78" s="21" t="str">
        <f t="shared" si="52"/>
        <v>-</v>
      </c>
      <c r="O78" s="21" t="str">
        <f t="shared" si="52"/>
        <v>-</v>
      </c>
      <c r="P78" s="21">
        <f t="shared" si="52"/>
        <v>0.1982942431</v>
      </c>
      <c r="Q78" s="21">
        <f t="shared" si="52"/>
        <v>0.2080808081</v>
      </c>
      <c r="R78" s="21">
        <f t="shared" si="52"/>
        <v>0.2899408284</v>
      </c>
      <c r="S78" s="21" t="str">
        <f t="shared" si="52"/>
        <v>-</v>
      </c>
      <c r="T78" s="8"/>
      <c r="U78" s="8"/>
      <c r="V78" s="8"/>
      <c r="W78" s="8"/>
      <c r="X78" s="8"/>
      <c r="Y78" s="8"/>
    </row>
    <row r="79">
      <c r="A79" s="50"/>
      <c r="B79" s="41" t="s">
        <v>172</v>
      </c>
      <c r="C79" s="29" t="s">
        <v>173</v>
      </c>
      <c r="D79" s="21">
        <f t="shared" ref="D79:S79" si="53">IF(C53=0,"-",C27/C53)</f>
        <v>0.2111959288</v>
      </c>
      <c r="E79" s="21">
        <f t="shared" si="53"/>
        <v>0.1989924433</v>
      </c>
      <c r="F79" s="21">
        <f t="shared" si="53"/>
        <v>0.2070707071</v>
      </c>
      <c r="G79" s="21">
        <f t="shared" si="53"/>
        <v>0.1940298507</v>
      </c>
      <c r="H79" s="21">
        <f t="shared" si="53"/>
        <v>0.1901234568</v>
      </c>
      <c r="I79" s="21">
        <f t="shared" si="53"/>
        <v>0.173594132</v>
      </c>
      <c r="J79" s="21">
        <f t="shared" si="53"/>
        <v>0.1756097561</v>
      </c>
      <c r="K79" s="21">
        <f t="shared" si="53"/>
        <v>0.1683168317</v>
      </c>
      <c r="L79" s="21" t="str">
        <f t="shared" si="53"/>
        <v>-</v>
      </c>
      <c r="M79" s="21" t="str">
        <f t="shared" si="53"/>
        <v>-</v>
      </c>
      <c r="N79" s="21" t="str">
        <f t="shared" si="53"/>
        <v>-</v>
      </c>
      <c r="O79" s="21" t="str">
        <f t="shared" si="53"/>
        <v>-</v>
      </c>
      <c r="P79" s="21">
        <f t="shared" si="53"/>
        <v>0.2057335582</v>
      </c>
      <c r="Q79" s="21">
        <f t="shared" si="53"/>
        <v>0.1858552632</v>
      </c>
      <c r="R79" s="21">
        <f t="shared" si="53"/>
        <v>0.171990172</v>
      </c>
      <c r="S79" s="21" t="str">
        <f t="shared" si="53"/>
        <v>-</v>
      </c>
      <c r="T79" s="8"/>
      <c r="U79" s="8"/>
      <c r="V79" s="8"/>
      <c r="W79" s="8"/>
      <c r="X79" s="8"/>
      <c r="Y79" s="8"/>
    </row>
    <row r="80">
      <c r="A80" s="50"/>
      <c r="B80" s="31"/>
      <c r="C80" s="29" t="s">
        <v>174</v>
      </c>
      <c r="D80" s="21">
        <f t="shared" ref="D80:S80" si="54">IF(C54=0,"-",C28/C54)</f>
        <v>0.1201923077</v>
      </c>
      <c r="E80" s="21">
        <f t="shared" si="54"/>
        <v>0.0956937799</v>
      </c>
      <c r="F80" s="21">
        <f t="shared" si="54"/>
        <v>0.09803921569</v>
      </c>
      <c r="G80" s="21">
        <f t="shared" si="54"/>
        <v>0.1148325359</v>
      </c>
      <c r="H80" s="21">
        <f t="shared" si="54"/>
        <v>0.1220657277</v>
      </c>
      <c r="I80" s="21">
        <f t="shared" si="54"/>
        <v>0.1244239631</v>
      </c>
      <c r="J80" s="21">
        <f t="shared" si="54"/>
        <v>0.1050228311</v>
      </c>
      <c r="K80" s="21">
        <f t="shared" si="54"/>
        <v>0.09954751131</v>
      </c>
      <c r="L80" s="21" t="str">
        <f t="shared" si="54"/>
        <v>-</v>
      </c>
      <c r="M80" s="21" t="str">
        <f t="shared" si="54"/>
        <v>-</v>
      </c>
      <c r="N80" s="21" t="str">
        <f t="shared" si="54"/>
        <v>-</v>
      </c>
      <c r="O80" s="21" t="str">
        <f t="shared" si="54"/>
        <v>-</v>
      </c>
      <c r="P80" s="21">
        <f t="shared" si="54"/>
        <v>0.1046698873</v>
      </c>
      <c r="Q80" s="21">
        <f t="shared" si="54"/>
        <v>0.1205007825</v>
      </c>
      <c r="R80" s="21">
        <f t="shared" si="54"/>
        <v>0.1022727273</v>
      </c>
      <c r="S80" s="21" t="str">
        <f t="shared" si="54"/>
        <v>-</v>
      </c>
      <c r="T80" s="8"/>
      <c r="U80" s="8"/>
      <c r="V80" s="8"/>
      <c r="W80" s="8"/>
      <c r="X80" s="8"/>
      <c r="Y80" s="8"/>
    </row>
    <row r="81">
      <c r="A81" s="50"/>
      <c r="B81" s="31"/>
      <c r="C81" s="29" t="s">
        <v>175</v>
      </c>
      <c r="D81" s="21">
        <f t="shared" ref="D81:S81" si="55">IF(C55=0,"-",C29/C55)</f>
        <v>0.17</v>
      </c>
      <c r="E81" s="21">
        <f t="shared" si="55"/>
        <v>0.1609756098</v>
      </c>
      <c r="F81" s="21">
        <f t="shared" si="55"/>
        <v>0.1435643564</v>
      </c>
      <c r="G81" s="21">
        <f t="shared" si="55"/>
        <v>0.1089108911</v>
      </c>
      <c r="H81" s="21">
        <f t="shared" si="55"/>
        <v>0.09278350515</v>
      </c>
      <c r="I81" s="21">
        <f t="shared" si="55"/>
        <v>0.09595959596</v>
      </c>
      <c r="J81" s="21">
        <f t="shared" si="55"/>
        <v>0.1005025126</v>
      </c>
      <c r="K81" s="21">
        <f t="shared" si="55"/>
        <v>0.1219512195</v>
      </c>
      <c r="L81" s="21" t="str">
        <f t="shared" si="55"/>
        <v>-</v>
      </c>
      <c r="M81" s="21" t="str">
        <f t="shared" si="55"/>
        <v>-</v>
      </c>
      <c r="N81" s="21" t="str">
        <f t="shared" si="55"/>
        <v>-</v>
      </c>
      <c r="O81" s="21" t="str">
        <f t="shared" si="55"/>
        <v>-</v>
      </c>
      <c r="P81" s="21">
        <f t="shared" si="55"/>
        <v>0.15815486</v>
      </c>
      <c r="Q81" s="21">
        <f t="shared" si="55"/>
        <v>0.09932659933</v>
      </c>
      <c r="R81" s="21">
        <f t="shared" si="55"/>
        <v>0.1113861386</v>
      </c>
      <c r="S81" s="21" t="str">
        <f t="shared" si="55"/>
        <v>-</v>
      </c>
      <c r="T81" s="8"/>
      <c r="U81" s="8"/>
      <c r="V81" s="8"/>
      <c r="W81" s="8"/>
      <c r="X81" s="8"/>
      <c r="Y81" s="8"/>
    </row>
    <row r="82">
      <c r="A82" s="50"/>
      <c r="B82" s="32"/>
      <c r="C82" s="29" t="s">
        <v>176</v>
      </c>
      <c r="D82" s="21">
        <f t="shared" ref="D82:S82" si="56">IF(C56=0,"-",C30/C56)</f>
        <v>0.1640625</v>
      </c>
      <c r="E82" s="21">
        <f t="shared" si="56"/>
        <v>0.1640625</v>
      </c>
      <c r="F82" s="21">
        <f t="shared" si="56"/>
        <v>0.1707317073</v>
      </c>
      <c r="G82" s="21">
        <f t="shared" si="56"/>
        <v>0.184</v>
      </c>
      <c r="H82" s="21">
        <f t="shared" si="56"/>
        <v>0.1788617886</v>
      </c>
      <c r="I82" s="21">
        <f t="shared" si="56"/>
        <v>0.1746031746</v>
      </c>
      <c r="J82" s="21">
        <f t="shared" si="56"/>
        <v>0.1811023622</v>
      </c>
      <c r="K82" s="21">
        <f t="shared" si="56"/>
        <v>0.1615384615</v>
      </c>
      <c r="L82" s="21" t="str">
        <f t="shared" si="56"/>
        <v>-</v>
      </c>
      <c r="M82" s="21" t="str">
        <f t="shared" si="56"/>
        <v>-</v>
      </c>
      <c r="N82" s="21" t="str">
        <f t="shared" si="56"/>
        <v>-</v>
      </c>
      <c r="O82" s="21" t="str">
        <f t="shared" si="56"/>
        <v>-</v>
      </c>
      <c r="P82" s="21">
        <f t="shared" si="56"/>
        <v>0.1662269129</v>
      </c>
      <c r="Q82" s="21">
        <f t="shared" si="56"/>
        <v>0.179144385</v>
      </c>
      <c r="R82" s="21">
        <f t="shared" si="56"/>
        <v>0.1712062257</v>
      </c>
      <c r="S82" s="21" t="str">
        <f t="shared" si="56"/>
        <v>-</v>
      </c>
      <c r="T82" s="8"/>
      <c r="U82" s="8"/>
      <c r="V82" s="8"/>
      <c r="W82" s="8"/>
      <c r="X82" s="8"/>
      <c r="Y82" s="8"/>
    </row>
    <row r="83">
      <c r="A83" s="50"/>
      <c r="B83" s="41" t="s">
        <v>177</v>
      </c>
      <c r="C83" s="29" t="s">
        <v>178</v>
      </c>
      <c r="D83" s="21">
        <f t="shared" ref="D83:S83" si="57">IF(C57=0,"-",C31/C57)</f>
        <v>0.1896551724</v>
      </c>
      <c r="E83" s="21">
        <f t="shared" si="57"/>
        <v>0.2065217391</v>
      </c>
      <c r="F83" s="21">
        <f t="shared" si="57"/>
        <v>0.2</v>
      </c>
      <c r="G83" s="21">
        <f t="shared" si="57"/>
        <v>0.2010582011</v>
      </c>
      <c r="H83" s="21">
        <f t="shared" si="57"/>
        <v>0.2030456853</v>
      </c>
      <c r="I83" s="21">
        <f t="shared" si="57"/>
        <v>0.1887755102</v>
      </c>
      <c r="J83" s="21">
        <f t="shared" si="57"/>
        <v>0.2167487685</v>
      </c>
      <c r="K83" s="21">
        <f t="shared" si="57"/>
        <v>0.2341463415</v>
      </c>
      <c r="L83" s="21" t="str">
        <f t="shared" si="57"/>
        <v>-</v>
      </c>
      <c r="M83" s="21" t="str">
        <f t="shared" si="57"/>
        <v>-</v>
      </c>
      <c r="N83" s="21" t="str">
        <f t="shared" si="57"/>
        <v>-</v>
      </c>
      <c r="O83" s="21" t="str">
        <f t="shared" si="57"/>
        <v>-</v>
      </c>
      <c r="P83" s="21">
        <f t="shared" si="57"/>
        <v>0.1989051095</v>
      </c>
      <c r="Q83" s="21">
        <f t="shared" si="57"/>
        <v>0.1975945017</v>
      </c>
      <c r="R83" s="21">
        <f t="shared" si="57"/>
        <v>0.2254901961</v>
      </c>
      <c r="S83" s="21" t="str">
        <f t="shared" si="57"/>
        <v>-</v>
      </c>
      <c r="T83" s="8"/>
      <c r="U83" s="8"/>
      <c r="V83" s="8"/>
      <c r="W83" s="8"/>
      <c r="X83" s="8"/>
      <c r="Y83" s="8"/>
    </row>
    <row r="84">
      <c r="A84" s="50"/>
      <c r="B84" s="31"/>
      <c r="C84" s="29" t="s">
        <v>179</v>
      </c>
      <c r="D84" s="21">
        <f t="shared" ref="D84:S84" si="58">IF(C58=0,"-",C32/C58)</f>
        <v>0.2823529412</v>
      </c>
      <c r="E84" s="21">
        <f t="shared" si="58"/>
        <v>0.286259542</v>
      </c>
      <c r="F84" s="21">
        <f t="shared" si="58"/>
        <v>0.2818532819</v>
      </c>
      <c r="G84" s="21">
        <f t="shared" si="58"/>
        <v>0.2934362934</v>
      </c>
      <c r="H84" s="21">
        <f t="shared" si="58"/>
        <v>0.3129770992</v>
      </c>
      <c r="I84" s="21">
        <f t="shared" si="58"/>
        <v>0.3281853282</v>
      </c>
      <c r="J84" s="21">
        <f t="shared" si="58"/>
        <v>0.3204633205</v>
      </c>
      <c r="K84" s="21">
        <f t="shared" si="58"/>
        <v>0.3025830258</v>
      </c>
      <c r="L84" s="21" t="str">
        <f t="shared" si="58"/>
        <v>-</v>
      </c>
      <c r="M84" s="21" t="str">
        <f t="shared" si="58"/>
        <v>-</v>
      </c>
      <c r="N84" s="21" t="str">
        <f t="shared" si="58"/>
        <v>-</v>
      </c>
      <c r="O84" s="21" t="str">
        <f t="shared" si="58"/>
        <v>-</v>
      </c>
      <c r="P84" s="21">
        <f t="shared" si="58"/>
        <v>0.2835051546</v>
      </c>
      <c r="Q84" s="21">
        <f t="shared" si="58"/>
        <v>0.3115384615</v>
      </c>
      <c r="R84" s="21">
        <f t="shared" si="58"/>
        <v>0.3113207547</v>
      </c>
      <c r="S84" s="21" t="str">
        <f t="shared" si="58"/>
        <v>-</v>
      </c>
      <c r="T84" s="8"/>
      <c r="U84" s="8"/>
      <c r="V84" s="8"/>
      <c r="W84" s="8"/>
      <c r="X84" s="8"/>
      <c r="Y84" s="8"/>
    </row>
    <row r="85">
      <c r="A85" s="50"/>
      <c r="B85" s="32"/>
      <c r="C85" s="29" t="s">
        <v>180</v>
      </c>
      <c r="D85" s="21">
        <f t="shared" ref="D85:S85" si="59">IF(C59=0,"-",C33/C59)</f>
        <v>0.7991452991</v>
      </c>
      <c r="E85" s="21">
        <f t="shared" si="59"/>
        <v>0.7866108787</v>
      </c>
      <c r="F85" s="21">
        <f t="shared" si="59"/>
        <v>0.7717842324</v>
      </c>
      <c r="G85" s="21">
        <f t="shared" si="59"/>
        <v>0.7561983471</v>
      </c>
      <c r="H85" s="21">
        <f t="shared" si="59"/>
        <v>0.6099585062</v>
      </c>
      <c r="I85" s="21">
        <f t="shared" si="59"/>
        <v>0.5274261603</v>
      </c>
      <c r="J85" s="21">
        <f t="shared" si="59"/>
        <v>0.5022222222</v>
      </c>
      <c r="K85" s="21">
        <f t="shared" si="59"/>
        <v>0.5140186916</v>
      </c>
      <c r="L85" s="21" t="str">
        <f t="shared" si="59"/>
        <v>-</v>
      </c>
      <c r="M85" s="21" t="str">
        <f t="shared" si="59"/>
        <v>-</v>
      </c>
      <c r="N85" s="21" t="str">
        <f t="shared" si="59"/>
        <v>-</v>
      </c>
      <c r="O85" s="21" t="str">
        <f t="shared" si="59"/>
        <v>-</v>
      </c>
      <c r="P85" s="21">
        <f t="shared" si="59"/>
        <v>0.7857142857</v>
      </c>
      <c r="Q85" s="21">
        <f t="shared" si="59"/>
        <v>0.6319444444</v>
      </c>
      <c r="R85" s="21">
        <f t="shared" si="59"/>
        <v>0.5079726651</v>
      </c>
      <c r="S85" s="21" t="str">
        <f t="shared" si="59"/>
        <v>-</v>
      </c>
      <c r="T85" s="8"/>
      <c r="U85" s="8"/>
      <c r="V85" s="8"/>
      <c r="W85" s="8"/>
      <c r="X85" s="8"/>
      <c r="Y85" s="8"/>
    </row>
    <row r="86">
      <c r="A86" s="50"/>
      <c r="B86" s="41" t="s">
        <v>195</v>
      </c>
      <c r="C86" s="42" t="s">
        <v>182</v>
      </c>
      <c r="D86" s="21">
        <f t="shared" ref="D86:S86" si="60">IF(C60=0,"-",C34/C60)</f>
        <v>0.2033898305</v>
      </c>
      <c r="E86" s="21">
        <f t="shared" si="60"/>
        <v>0.2051282051</v>
      </c>
      <c r="F86" s="21">
        <f t="shared" si="60"/>
        <v>0.2203389831</v>
      </c>
      <c r="G86" s="21">
        <f t="shared" si="60"/>
        <v>0.2291666667</v>
      </c>
      <c r="H86" s="21">
        <f t="shared" si="60"/>
        <v>0.2388663968</v>
      </c>
      <c r="I86" s="21">
        <f t="shared" si="60"/>
        <v>0.2568093385</v>
      </c>
      <c r="J86" s="21">
        <f t="shared" si="60"/>
        <v>0.2518248175</v>
      </c>
      <c r="K86" s="21">
        <f t="shared" si="60"/>
        <v>0.2384341637</v>
      </c>
      <c r="L86" s="21" t="str">
        <f t="shared" si="60"/>
        <v>-</v>
      </c>
      <c r="M86" s="21" t="str">
        <f t="shared" si="60"/>
        <v>-</v>
      </c>
      <c r="N86" s="21" t="str">
        <f t="shared" si="60"/>
        <v>-</v>
      </c>
      <c r="O86" s="21" t="str">
        <f t="shared" si="60"/>
        <v>-</v>
      </c>
      <c r="P86" s="21">
        <f t="shared" si="60"/>
        <v>0.209631728</v>
      </c>
      <c r="Q86" s="21">
        <f t="shared" si="60"/>
        <v>0.2419354839</v>
      </c>
      <c r="R86" s="21">
        <f t="shared" si="60"/>
        <v>0.245045045</v>
      </c>
      <c r="S86" s="21" t="str">
        <f t="shared" si="60"/>
        <v>-</v>
      </c>
      <c r="T86" s="8"/>
      <c r="U86" s="8"/>
      <c r="V86" s="8"/>
      <c r="W86" s="8"/>
      <c r="X86" s="8"/>
      <c r="Y86" s="8"/>
    </row>
    <row r="87">
      <c r="A87" s="50"/>
      <c r="B87" s="31"/>
      <c r="C87" s="42" t="s">
        <v>183</v>
      </c>
      <c r="D87" s="21">
        <f t="shared" ref="D87:S87" si="61">IF(C61=0,"-",C35/C61)</f>
        <v>0.2227272727</v>
      </c>
      <c r="E87" s="21">
        <f t="shared" si="61"/>
        <v>0.2227272727</v>
      </c>
      <c r="F87" s="21">
        <f t="shared" si="61"/>
        <v>0.198156682</v>
      </c>
      <c r="G87" s="21">
        <f t="shared" si="61"/>
        <v>0.1926605505</v>
      </c>
      <c r="H87" s="21">
        <f t="shared" si="61"/>
        <v>0.1990950226</v>
      </c>
      <c r="I87" s="21">
        <f t="shared" si="61"/>
        <v>0.2053571429</v>
      </c>
      <c r="J87" s="21">
        <f t="shared" si="61"/>
        <v>0.2203389831</v>
      </c>
      <c r="K87" s="21">
        <f t="shared" si="61"/>
        <v>0.2459677419</v>
      </c>
      <c r="L87" s="21" t="str">
        <f t="shared" si="61"/>
        <v>-</v>
      </c>
      <c r="M87" s="21" t="str">
        <f t="shared" si="61"/>
        <v>-</v>
      </c>
      <c r="N87" s="21" t="str">
        <f t="shared" si="61"/>
        <v>-</v>
      </c>
      <c r="O87" s="21" t="str">
        <f t="shared" si="61"/>
        <v>-</v>
      </c>
      <c r="P87" s="21">
        <f t="shared" si="61"/>
        <v>0.2146118721</v>
      </c>
      <c r="Q87" s="21">
        <f t="shared" si="61"/>
        <v>0.1990950226</v>
      </c>
      <c r="R87" s="21">
        <f t="shared" si="61"/>
        <v>0.2334710744</v>
      </c>
      <c r="S87" s="21" t="str">
        <f t="shared" si="61"/>
        <v>-</v>
      </c>
      <c r="T87" s="8"/>
      <c r="U87" s="8"/>
      <c r="V87" s="8"/>
      <c r="W87" s="8"/>
      <c r="X87" s="8"/>
      <c r="Y87" s="8"/>
    </row>
    <row r="88">
      <c r="A88" s="50"/>
      <c r="B88" s="32"/>
      <c r="C88" s="42" t="s">
        <v>184</v>
      </c>
      <c r="D88" s="21">
        <f t="shared" ref="D88:S88" si="62">IF(C62=0,"-",C36/C62)</f>
        <v>0.25</v>
      </c>
      <c r="E88" s="21">
        <f t="shared" si="62"/>
        <v>0.2285714286</v>
      </c>
      <c r="F88" s="21">
        <f t="shared" si="62"/>
        <v>0.2387387387</v>
      </c>
      <c r="G88" s="21">
        <f t="shared" si="62"/>
        <v>0.25</v>
      </c>
      <c r="H88" s="21">
        <f t="shared" si="62"/>
        <v>0.2542372881</v>
      </c>
      <c r="I88" s="21">
        <f t="shared" si="62"/>
        <v>0.2633744856</v>
      </c>
      <c r="J88" s="21">
        <f t="shared" si="62"/>
        <v>0.2558139535</v>
      </c>
      <c r="K88" s="21">
        <f t="shared" si="62"/>
        <v>0.25</v>
      </c>
      <c r="L88" s="21" t="str">
        <f t="shared" si="62"/>
        <v>-</v>
      </c>
      <c r="M88" s="21" t="str">
        <f t="shared" si="62"/>
        <v>-</v>
      </c>
      <c r="N88" s="21" t="str">
        <f t="shared" si="62"/>
        <v>-</v>
      </c>
      <c r="O88" s="21" t="str">
        <f t="shared" si="62"/>
        <v>-</v>
      </c>
      <c r="P88" s="21">
        <f t="shared" si="62"/>
        <v>0.2390625</v>
      </c>
      <c r="Q88" s="21">
        <f t="shared" si="62"/>
        <v>0.2560113154</v>
      </c>
      <c r="R88" s="21">
        <f t="shared" si="62"/>
        <v>0.252851711</v>
      </c>
      <c r="S88" s="21" t="str">
        <f t="shared" si="62"/>
        <v>-</v>
      </c>
      <c r="T88" s="8"/>
      <c r="U88" s="8"/>
      <c r="V88" s="8"/>
      <c r="W88" s="8"/>
      <c r="X88" s="8"/>
      <c r="Y88" s="8"/>
    </row>
    <row r="89">
      <c r="A89" s="51"/>
      <c r="B89" s="43" t="s">
        <v>185</v>
      </c>
      <c r="C89" s="42" t="s">
        <v>186</v>
      </c>
      <c r="D89" s="21">
        <f t="shared" ref="D89:S89" si="63">IF(C63=0,"-",C37/C63)</f>
        <v>0.1656976744</v>
      </c>
      <c r="E89" s="21">
        <f t="shared" si="63"/>
        <v>0.1818181818</v>
      </c>
      <c r="F89" s="21">
        <f t="shared" si="63"/>
        <v>0.2128279883</v>
      </c>
      <c r="G89" s="21">
        <f t="shared" si="63"/>
        <v>0.2228739003</v>
      </c>
      <c r="H89" s="21">
        <f t="shared" si="63"/>
        <v>0.2422535211</v>
      </c>
      <c r="I89" s="21">
        <f t="shared" si="63"/>
        <v>0.2323529412</v>
      </c>
      <c r="J89" s="21">
        <f t="shared" si="63"/>
        <v>0.2662889518</v>
      </c>
      <c r="K89" s="21">
        <f t="shared" si="63"/>
        <v>0.2917847025</v>
      </c>
      <c r="L89" s="21" t="str">
        <f t="shared" si="63"/>
        <v>-</v>
      </c>
      <c r="M89" s="21" t="str">
        <f t="shared" si="63"/>
        <v>-</v>
      </c>
      <c r="N89" s="21" t="str">
        <f t="shared" si="63"/>
        <v>-</v>
      </c>
      <c r="O89" s="21" t="str">
        <f t="shared" si="63"/>
        <v>-</v>
      </c>
      <c r="P89" s="21">
        <f t="shared" si="63"/>
        <v>0.186770428</v>
      </c>
      <c r="Q89" s="21">
        <f t="shared" si="63"/>
        <v>0.2326254826</v>
      </c>
      <c r="R89" s="21">
        <f t="shared" si="63"/>
        <v>0.2790368272</v>
      </c>
      <c r="S89" s="21" t="str">
        <f t="shared" si="63"/>
        <v>-</v>
      </c>
      <c r="T89" s="8"/>
      <c r="U89" s="8"/>
      <c r="V89" s="8"/>
      <c r="W89" s="8"/>
      <c r="X89" s="8"/>
      <c r="Y89" s="8"/>
    </row>
    <row r="90">
      <c r="A90" s="51"/>
      <c r="B90" s="43" t="s">
        <v>187</v>
      </c>
      <c r="C90" s="42" t="s">
        <v>188</v>
      </c>
      <c r="D90" s="21">
        <f t="shared" ref="D90:S90" si="64">IF(C64=0,"-",C38/C64)</f>
        <v>0.2908163265</v>
      </c>
      <c r="E90" s="21">
        <f t="shared" si="64"/>
        <v>0.2959183673</v>
      </c>
      <c r="F90" s="21">
        <f t="shared" si="64"/>
        <v>0.3096446701</v>
      </c>
      <c r="G90" s="21">
        <f t="shared" si="64"/>
        <v>0.2908163265</v>
      </c>
      <c r="H90" s="21">
        <f t="shared" si="64"/>
        <v>0.3089005236</v>
      </c>
      <c r="I90" s="21">
        <f t="shared" si="64"/>
        <v>0.328042328</v>
      </c>
      <c r="J90" s="21">
        <f t="shared" si="64"/>
        <v>0.335106383</v>
      </c>
      <c r="K90" s="21">
        <f t="shared" si="64"/>
        <v>0.3461538462</v>
      </c>
      <c r="L90" s="21" t="str">
        <f t="shared" si="64"/>
        <v>-</v>
      </c>
      <c r="M90" s="21" t="str">
        <f t="shared" si="64"/>
        <v>-</v>
      </c>
      <c r="N90" s="21" t="str">
        <f t="shared" si="64"/>
        <v>-</v>
      </c>
      <c r="O90" s="21" t="str">
        <f t="shared" si="64"/>
        <v>-</v>
      </c>
      <c r="P90" s="21">
        <f t="shared" si="64"/>
        <v>0.298811545</v>
      </c>
      <c r="Q90" s="21">
        <f t="shared" si="64"/>
        <v>0.3090277778</v>
      </c>
      <c r="R90" s="21">
        <f t="shared" si="64"/>
        <v>0.3405405405</v>
      </c>
      <c r="S90" s="21" t="str">
        <f t="shared" si="64"/>
        <v>-</v>
      </c>
      <c r="T90" s="8"/>
      <c r="U90" s="8"/>
      <c r="V90" s="8"/>
      <c r="W90" s="8"/>
      <c r="X90" s="8"/>
      <c r="Y90" s="8"/>
    </row>
    <row r="91">
      <c r="A91" s="51"/>
      <c r="B91" s="43" t="s">
        <v>146</v>
      </c>
      <c r="C91" s="44"/>
      <c r="D91" s="21">
        <f t="shared" ref="D91:S91" si="65">IF(C65=0,"-",C39/C65)</f>
        <v>0.268963867</v>
      </c>
      <c r="E91" s="21">
        <f t="shared" si="65"/>
        <v>0.268367588</v>
      </c>
      <c r="F91" s="21">
        <f t="shared" si="65"/>
        <v>0.2688668359</v>
      </c>
      <c r="G91" s="21">
        <f t="shared" si="65"/>
        <v>0.2672927164</v>
      </c>
      <c r="H91" s="21">
        <f t="shared" si="65"/>
        <v>0.2576028623</v>
      </c>
      <c r="I91" s="21">
        <f t="shared" si="65"/>
        <v>0.2570659489</v>
      </c>
      <c r="J91" s="21">
        <f t="shared" si="65"/>
        <v>0.26085031</v>
      </c>
      <c r="K91" s="21">
        <f t="shared" si="65"/>
        <v>0.262905685</v>
      </c>
      <c r="L91" s="21" t="str">
        <f t="shared" si="65"/>
        <v>-</v>
      </c>
      <c r="M91" s="21" t="str">
        <f t="shared" si="65"/>
        <v>-</v>
      </c>
      <c r="N91" s="21" t="str">
        <f t="shared" si="65"/>
        <v>-</v>
      </c>
      <c r="O91" s="21" t="str">
        <f t="shared" si="65"/>
        <v>-</v>
      </c>
      <c r="P91" s="21">
        <f t="shared" si="65"/>
        <v>0.2687328364</v>
      </c>
      <c r="Q91" s="21">
        <f t="shared" si="65"/>
        <v>0.2606046931</v>
      </c>
      <c r="R91" s="21">
        <f t="shared" si="65"/>
        <v>0.261886461</v>
      </c>
      <c r="S91" s="21" t="str">
        <f t="shared" si="65"/>
        <v>-</v>
      </c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</sheetData>
  <mergeCells count="22">
    <mergeCell ref="C2:N2"/>
    <mergeCell ref="C16:N16"/>
    <mergeCell ref="A18:A21"/>
    <mergeCell ref="A22:A23"/>
    <mergeCell ref="A24:A25"/>
    <mergeCell ref="A27:A30"/>
    <mergeCell ref="A31:A33"/>
    <mergeCell ref="A60:A62"/>
    <mergeCell ref="B68:O68"/>
    <mergeCell ref="B70:B73"/>
    <mergeCell ref="B74:B75"/>
    <mergeCell ref="B76:B77"/>
    <mergeCell ref="B79:B82"/>
    <mergeCell ref="B83:B85"/>
    <mergeCell ref="B86:B88"/>
    <mergeCell ref="A34:A36"/>
    <mergeCell ref="C42:N42"/>
    <mergeCell ref="A44:A47"/>
    <mergeCell ref="A48:A49"/>
    <mergeCell ref="A50:A51"/>
    <mergeCell ref="A53:A56"/>
    <mergeCell ref="A57:A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0"/>
  </cols>
  <sheetData>
    <row r="1">
      <c r="A1" s="2" t="s">
        <v>2</v>
      </c>
      <c r="D1" s="5"/>
      <c r="E1" s="5"/>
      <c r="F1" s="5"/>
    </row>
    <row r="2">
      <c r="A2" s="2" t="s">
        <v>3</v>
      </c>
      <c r="C2" s="5"/>
      <c r="D2" s="5"/>
      <c r="E2" s="5"/>
      <c r="F2" s="5"/>
    </row>
    <row r="3">
      <c r="A3" s="2" t="s">
        <v>5</v>
      </c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 t="s">
        <v>6</v>
      </c>
    </row>
    <row r="6">
      <c r="A6" s="2" t="s">
        <v>7</v>
      </c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>
      <c r="A9" s="2" t="s">
        <v>16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</row>
    <row r="10">
      <c r="A10" s="2" t="s">
        <v>15</v>
      </c>
      <c r="B10" s="10">
        <v>20.0</v>
      </c>
      <c r="C10" s="10">
        <v>0.0</v>
      </c>
      <c r="D10" s="10">
        <v>10.0</v>
      </c>
      <c r="E10" s="10">
        <v>20.0</v>
      </c>
      <c r="F10" s="10">
        <v>0.0</v>
      </c>
    </row>
    <row r="11">
      <c r="A11" s="2" t="s">
        <v>17</v>
      </c>
      <c r="B11" s="10">
        <v>2.0</v>
      </c>
      <c r="C11" s="10">
        <v>0.0</v>
      </c>
      <c r="D11" s="10">
        <v>0.0</v>
      </c>
      <c r="E11" s="10">
        <v>2.0</v>
      </c>
      <c r="F11" s="10">
        <v>0.0</v>
      </c>
    </row>
    <row r="12">
      <c r="A12" s="2" t="s">
        <v>18</v>
      </c>
      <c r="B12" s="10">
        <v>65.0</v>
      </c>
      <c r="C12" s="10">
        <v>0.0</v>
      </c>
      <c r="D12" s="10">
        <v>5.0</v>
      </c>
      <c r="E12" s="10">
        <v>65.0</v>
      </c>
      <c r="F12" s="10">
        <v>0.0</v>
      </c>
    </row>
    <row r="13">
      <c r="A13" s="2" t="s">
        <v>19</v>
      </c>
      <c r="B13" s="10">
        <v>87.0</v>
      </c>
      <c r="C13" s="10">
        <v>0.0</v>
      </c>
      <c r="D13" s="10">
        <v>15.0</v>
      </c>
      <c r="E13" s="10">
        <v>87.0</v>
      </c>
      <c r="F13" s="10">
        <v>0.0</v>
      </c>
    </row>
    <row r="14">
      <c r="A14" s="2" t="s">
        <v>24</v>
      </c>
      <c r="B14" s="10">
        <v>78.0</v>
      </c>
      <c r="C14" s="10">
        <v>0.0</v>
      </c>
      <c r="D14" s="10">
        <v>17.0</v>
      </c>
      <c r="E14" s="10">
        <v>78.0</v>
      </c>
      <c r="F14" s="10">
        <v>0.0</v>
      </c>
    </row>
    <row r="15">
      <c r="A15" s="2" t="s">
        <v>16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</row>
    <row r="16">
      <c r="A16" s="2" t="s">
        <v>25</v>
      </c>
      <c r="B16" s="10">
        <v>56.0</v>
      </c>
      <c r="C16" s="10">
        <v>0.0</v>
      </c>
      <c r="D16" s="10">
        <v>8.0</v>
      </c>
      <c r="E16" s="10">
        <v>56.0</v>
      </c>
      <c r="F16" s="10">
        <v>0.0</v>
      </c>
    </row>
    <row r="17">
      <c r="A17" s="2" t="s">
        <v>26</v>
      </c>
      <c r="B17" s="10">
        <v>67.0</v>
      </c>
      <c r="C17" s="10">
        <v>0.0</v>
      </c>
      <c r="D17" s="10">
        <v>18.0</v>
      </c>
      <c r="E17" s="10">
        <v>67.0</v>
      </c>
      <c r="F17" s="10">
        <v>0.0</v>
      </c>
    </row>
    <row r="18">
      <c r="A18" s="2" t="s">
        <v>27</v>
      </c>
      <c r="B18" s="10">
        <v>51.0</v>
      </c>
      <c r="C18" s="10">
        <v>0.0</v>
      </c>
      <c r="D18" s="10">
        <v>10.0</v>
      </c>
      <c r="E18" s="10">
        <v>51.0</v>
      </c>
      <c r="F18" s="10">
        <v>0.0</v>
      </c>
    </row>
    <row r="19">
      <c r="A19" s="2" t="s">
        <v>28</v>
      </c>
      <c r="B19" s="10">
        <v>143.0</v>
      </c>
      <c r="C19" s="10">
        <v>0.0</v>
      </c>
      <c r="D19" s="10">
        <v>68.0</v>
      </c>
      <c r="E19" s="10">
        <v>143.0</v>
      </c>
      <c r="F19" s="10">
        <v>0.0</v>
      </c>
    </row>
    <row r="20">
      <c r="A20" s="2" t="s">
        <v>29</v>
      </c>
      <c r="B20" s="10">
        <v>72.0</v>
      </c>
      <c r="C20" s="10">
        <v>1.0</v>
      </c>
      <c r="D20" s="10">
        <v>25.0</v>
      </c>
      <c r="E20" s="10">
        <v>71.0</v>
      </c>
      <c r="F20" s="10">
        <v>0.0</v>
      </c>
    </row>
    <row r="21">
      <c r="A21" s="2" t="s">
        <v>31</v>
      </c>
      <c r="B21" s="10">
        <v>467.0</v>
      </c>
      <c r="C21" s="10">
        <v>1.0</v>
      </c>
      <c r="D21" s="10">
        <v>146.0</v>
      </c>
      <c r="E21" s="10">
        <v>466.0</v>
      </c>
      <c r="F21" s="10">
        <v>0.0</v>
      </c>
    </row>
    <row r="22">
      <c r="A22" s="2" t="s">
        <v>32</v>
      </c>
      <c r="B22" s="10">
        <v>95.0</v>
      </c>
      <c r="C22" s="10">
        <v>3.0</v>
      </c>
      <c r="D22" s="10">
        <v>30.0</v>
      </c>
      <c r="E22" s="10">
        <v>92.0</v>
      </c>
      <c r="F22" s="10">
        <v>0.0</v>
      </c>
    </row>
    <row r="23">
      <c r="A23" s="2" t="s">
        <v>33</v>
      </c>
      <c r="B23" s="10">
        <v>89.0</v>
      </c>
      <c r="C23" s="10">
        <v>0.0</v>
      </c>
      <c r="D23" s="10">
        <v>19.0</v>
      </c>
      <c r="E23" s="10">
        <v>89.0</v>
      </c>
      <c r="F23" s="10">
        <v>0.0</v>
      </c>
    </row>
    <row r="24">
      <c r="A24" s="2" t="s">
        <v>34</v>
      </c>
      <c r="B24" s="10">
        <v>81.0</v>
      </c>
      <c r="C24" s="10">
        <v>1.0</v>
      </c>
      <c r="D24" s="10">
        <v>24.0</v>
      </c>
      <c r="E24" s="10">
        <v>80.0</v>
      </c>
      <c r="F24" s="10">
        <v>0.0</v>
      </c>
    </row>
    <row r="25">
      <c r="A25" s="2" t="s">
        <v>36</v>
      </c>
      <c r="B25" s="10">
        <v>78.0</v>
      </c>
      <c r="C25" s="10">
        <v>1.0</v>
      </c>
      <c r="D25" s="10">
        <v>25.0</v>
      </c>
      <c r="E25" s="10">
        <v>77.0</v>
      </c>
      <c r="F25" s="10">
        <v>0.0</v>
      </c>
    </row>
    <row r="26">
      <c r="A26" s="2" t="s">
        <v>37</v>
      </c>
      <c r="B26" s="10">
        <v>343.0</v>
      </c>
      <c r="C26" s="10">
        <v>5.0</v>
      </c>
      <c r="D26" s="10">
        <v>98.0</v>
      </c>
      <c r="E26" s="10">
        <v>338.0</v>
      </c>
      <c r="F26" s="10">
        <v>0.0</v>
      </c>
    </row>
    <row r="27">
      <c r="A27" s="2" t="s">
        <v>40</v>
      </c>
      <c r="B27" s="10">
        <v>169.0</v>
      </c>
      <c r="C27" s="10">
        <v>0.0</v>
      </c>
      <c r="D27" s="10">
        <v>48.0</v>
      </c>
      <c r="E27" s="10">
        <v>169.0</v>
      </c>
      <c r="F27" s="10">
        <v>0.0</v>
      </c>
    </row>
    <row r="28">
      <c r="A28" s="2" t="s">
        <v>44</v>
      </c>
      <c r="B28" s="10">
        <v>171.0</v>
      </c>
      <c r="C28" s="10">
        <v>1.0</v>
      </c>
      <c r="D28" s="10">
        <v>60.0</v>
      </c>
      <c r="E28" s="10">
        <v>170.0</v>
      </c>
      <c r="F28" s="10">
        <v>0.0</v>
      </c>
    </row>
    <row r="29">
      <c r="A29" s="2" t="s">
        <v>48</v>
      </c>
      <c r="B29" s="10">
        <v>113.0</v>
      </c>
      <c r="C29" s="10">
        <v>1.0</v>
      </c>
      <c r="D29" s="10">
        <v>34.0</v>
      </c>
      <c r="E29" s="10">
        <v>112.0</v>
      </c>
      <c r="F29" s="10">
        <v>0.0</v>
      </c>
    </row>
    <row r="30">
      <c r="A30" s="2" t="s">
        <v>52</v>
      </c>
      <c r="B30" s="10">
        <v>453.0</v>
      </c>
      <c r="C30" s="10">
        <v>2.0</v>
      </c>
      <c r="D30" s="10">
        <v>142.0</v>
      </c>
      <c r="E30" s="10">
        <v>451.0</v>
      </c>
      <c r="F30" s="10">
        <v>0.0</v>
      </c>
    </row>
    <row r="31">
      <c r="A31" s="2" t="s">
        <v>54</v>
      </c>
      <c r="B31" s="10">
        <v>104.0</v>
      </c>
      <c r="C31" s="10">
        <v>1.0</v>
      </c>
      <c r="D31" s="10">
        <v>20.0</v>
      </c>
      <c r="E31" s="10">
        <v>103.0</v>
      </c>
      <c r="F31" s="10">
        <v>0.0</v>
      </c>
    </row>
    <row r="32">
      <c r="A32" s="2" t="s">
        <v>58</v>
      </c>
      <c r="B32" s="10">
        <v>61.0</v>
      </c>
      <c r="C32" s="10">
        <v>1.0</v>
      </c>
      <c r="D32" s="10">
        <v>15.0</v>
      </c>
      <c r="E32" s="10">
        <v>61.0</v>
      </c>
      <c r="F32" s="10">
        <v>1.0</v>
      </c>
    </row>
    <row r="33">
      <c r="A33" s="2" t="s">
        <v>60</v>
      </c>
      <c r="B33" s="10">
        <v>165.0</v>
      </c>
      <c r="C33" s="10">
        <v>2.0</v>
      </c>
      <c r="D33" s="10">
        <v>35.0</v>
      </c>
      <c r="E33" s="10">
        <v>164.0</v>
      </c>
      <c r="F33" s="10">
        <v>1.0</v>
      </c>
    </row>
    <row r="34">
      <c r="A34" s="2" t="s">
        <v>61</v>
      </c>
      <c r="B34" s="10">
        <v>72.0</v>
      </c>
      <c r="C34" s="10">
        <v>0.0</v>
      </c>
      <c r="D34" s="10">
        <v>5.0</v>
      </c>
      <c r="E34" s="10">
        <v>72.0</v>
      </c>
      <c r="F34" s="10">
        <v>0.0</v>
      </c>
    </row>
    <row r="35">
      <c r="A35" s="2" t="s">
        <v>62</v>
      </c>
      <c r="B35" s="10">
        <v>33.0</v>
      </c>
      <c r="C35" s="10">
        <v>0.0</v>
      </c>
      <c r="D35" s="10">
        <v>2.0</v>
      </c>
      <c r="E35" s="10">
        <v>33.0</v>
      </c>
      <c r="F35" s="10">
        <v>0.0</v>
      </c>
    </row>
    <row r="36">
      <c r="A36" s="2" t="s">
        <v>63</v>
      </c>
      <c r="B36" s="10">
        <v>52.0</v>
      </c>
      <c r="C36" s="10">
        <v>0.0</v>
      </c>
      <c r="D36" s="10">
        <v>8.0</v>
      </c>
      <c r="E36" s="10">
        <v>51.0</v>
      </c>
      <c r="F36" s="10">
        <v>0.0</v>
      </c>
    </row>
    <row r="37">
      <c r="A37" s="2" t="s">
        <v>64</v>
      </c>
      <c r="B37" s="10">
        <v>56.0</v>
      </c>
      <c r="C37" s="10">
        <v>0.0</v>
      </c>
      <c r="D37" s="10">
        <v>6.0</v>
      </c>
      <c r="E37" s="10">
        <v>55.0</v>
      </c>
      <c r="F37" s="10">
        <v>0.0</v>
      </c>
    </row>
    <row r="38">
      <c r="A38" s="2" t="s">
        <v>65</v>
      </c>
      <c r="B38" s="10">
        <v>33.0</v>
      </c>
      <c r="C38" s="10">
        <v>0.0</v>
      </c>
      <c r="D38" s="10">
        <v>4.0</v>
      </c>
      <c r="E38" s="10">
        <v>33.0</v>
      </c>
      <c r="F38" s="10">
        <v>0.0</v>
      </c>
    </row>
    <row r="39">
      <c r="A39" s="2" t="s">
        <v>66</v>
      </c>
      <c r="B39" s="10">
        <v>12.0</v>
      </c>
      <c r="C39" s="10">
        <v>0.0</v>
      </c>
      <c r="D39" s="10">
        <v>2.0</v>
      </c>
      <c r="E39" s="10">
        <v>12.0</v>
      </c>
      <c r="F39" s="10">
        <v>0.0</v>
      </c>
    </row>
    <row r="40">
      <c r="A40" s="2" t="s">
        <v>67</v>
      </c>
      <c r="B40" s="10">
        <v>11.0</v>
      </c>
      <c r="C40" s="10">
        <v>0.0</v>
      </c>
      <c r="D40" s="10">
        <v>0.0</v>
      </c>
      <c r="E40" s="10">
        <v>10.0</v>
      </c>
      <c r="F40" s="10">
        <v>0.0</v>
      </c>
    </row>
    <row r="41">
      <c r="A41" s="2" t="s">
        <v>68</v>
      </c>
      <c r="B41" s="10">
        <v>39.0</v>
      </c>
      <c r="C41" s="10">
        <v>0.0</v>
      </c>
      <c r="D41" s="10">
        <v>6.0</v>
      </c>
      <c r="E41" s="10">
        <v>39.0</v>
      </c>
      <c r="F41" s="10">
        <v>0.0</v>
      </c>
    </row>
    <row r="42">
      <c r="A42" s="2" t="s">
        <v>69</v>
      </c>
      <c r="B42" s="10">
        <v>31.0</v>
      </c>
      <c r="C42" s="10">
        <v>0.0</v>
      </c>
      <c r="D42" s="10">
        <v>8.0</v>
      </c>
      <c r="E42" s="10">
        <v>31.0</v>
      </c>
      <c r="F42" s="10">
        <v>0.0</v>
      </c>
    </row>
    <row r="43">
      <c r="A43" s="2" t="s">
        <v>70</v>
      </c>
      <c r="B43" s="10">
        <v>35.0</v>
      </c>
      <c r="C43" s="10">
        <v>0.0</v>
      </c>
      <c r="D43" s="10">
        <v>5.0</v>
      </c>
      <c r="E43" s="10">
        <v>35.0</v>
      </c>
      <c r="F43" s="10">
        <v>0.0</v>
      </c>
    </row>
    <row r="44">
      <c r="A44" s="2" t="s">
        <v>71</v>
      </c>
      <c r="B44" s="10">
        <v>64.0</v>
      </c>
      <c r="C44" s="10">
        <v>0.0</v>
      </c>
      <c r="D44" s="10">
        <v>15.0</v>
      </c>
      <c r="E44" s="10">
        <v>64.0</v>
      </c>
      <c r="F44" s="10">
        <v>0.0</v>
      </c>
    </row>
    <row r="45">
      <c r="A45" s="2" t="s">
        <v>72</v>
      </c>
      <c r="B45" s="10">
        <v>144.0</v>
      </c>
      <c r="C45" s="10">
        <v>0.0</v>
      </c>
      <c r="D45" s="10">
        <v>23.0</v>
      </c>
      <c r="E45" s="10">
        <v>144.0</v>
      </c>
      <c r="F45" s="10">
        <v>0.0</v>
      </c>
    </row>
    <row r="46">
      <c r="A46" s="2" t="s">
        <v>73</v>
      </c>
      <c r="B46" s="10">
        <v>22.0</v>
      </c>
      <c r="C46" s="10">
        <v>0.0</v>
      </c>
      <c r="D46" s="10">
        <v>1.0</v>
      </c>
      <c r="E46" s="10">
        <v>22.0</v>
      </c>
      <c r="F46" s="10">
        <v>0.0</v>
      </c>
    </row>
    <row r="47">
      <c r="A47" s="2" t="s">
        <v>74</v>
      </c>
      <c r="B47" s="10">
        <v>5.0</v>
      </c>
      <c r="C47" s="10">
        <v>0.0</v>
      </c>
      <c r="D47" s="10">
        <v>0.0</v>
      </c>
      <c r="E47" s="10">
        <v>5.0</v>
      </c>
      <c r="F47" s="10">
        <v>0.0</v>
      </c>
    </row>
    <row r="48">
      <c r="A48" s="2" t="s">
        <v>75</v>
      </c>
      <c r="B48" s="10">
        <v>10.0</v>
      </c>
      <c r="C48" s="10">
        <v>0.0</v>
      </c>
      <c r="D48" s="10">
        <v>1.0</v>
      </c>
      <c r="E48" s="10">
        <v>10.0</v>
      </c>
      <c r="F48" s="10">
        <v>0.0</v>
      </c>
    </row>
    <row r="49">
      <c r="A49" s="2" t="s">
        <v>76</v>
      </c>
      <c r="B49" s="10">
        <v>7.0</v>
      </c>
      <c r="C49" s="10">
        <v>0.0</v>
      </c>
      <c r="D49" s="10">
        <v>0.0</v>
      </c>
      <c r="E49" s="10">
        <v>7.0</v>
      </c>
      <c r="F49" s="10">
        <v>0.0</v>
      </c>
    </row>
    <row r="50">
      <c r="A50" s="2" t="s">
        <v>77</v>
      </c>
      <c r="B50" s="10">
        <v>194.0</v>
      </c>
      <c r="C50" s="10">
        <v>0.0</v>
      </c>
      <c r="D50" s="10">
        <v>40.0</v>
      </c>
      <c r="E50" s="10">
        <v>194.0</v>
      </c>
      <c r="F50" s="10">
        <v>0.0</v>
      </c>
    </row>
    <row r="51">
      <c r="A51" s="2" t="s">
        <v>78</v>
      </c>
      <c r="B51" s="10">
        <v>66.0</v>
      </c>
      <c r="C51" s="10">
        <v>0.0</v>
      </c>
      <c r="D51" s="10">
        <v>10.0</v>
      </c>
      <c r="E51" s="10">
        <v>66.0</v>
      </c>
      <c r="F51" s="10">
        <v>0.0</v>
      </c>
    </row>
    <row r="52">
      <c r="A52" s="2" t="s">
        <v>79</v>
      </c>
      <c r="B52" s="10">
        <v>58.0</v>
      </c>
      <c r="C52" s="10">
        <v>0.0</v>
      </c>
      <c r="D52" s="10">
        <v>4.0</v>
      </c>
      <c r="E52" s="10">
        <v>58.0</v>
      </c>
      <c r="F52" s="10">
        <v>0.0</v>
      </c>
    </row>
    <row r="53">
      <c r="A53" s="2" t="s">
        <v>80</v>
      </c>
      <c r="B53" s="10">
        <v>42.0</v>
      </c>
      <c r="C53" s="10">
        <v>0.0</v>
      </c>
      <c r="D53" s="10">
        <v>3.0</v>
      </c>
      <c r="E53" s="10">
        <v>42.0</v>
      </c>
      <c r="F53" s="10">
        <v>0.0</v>
      </c>
    </row>
    <row r="54">
      <c r="A54" s="2" t="s">
        <v>81</v>
      </c>
      <c r="B54" s="10">
        <v>13.0</v>
      </c>
      <c r="C54" s="10">
        <v>0.0</v>
      </c>
      <c r="D54" s="10">
        <v>1.0</v>
      </c>
      <c r="E54" s="10">
        <v>13.0</v>
      </c>
      <c r="F54" s="10">
        <v>0.0</v>
      </c>
    </row>
    <row r="55">
      <c r="A55" s="2" t="s">
        <v>82</v>
      </c>
      <c r="B55" s="10">
        <v>3.0</v>
      </c>
      <c r="C55" s="10">
        <v>0.0</v>
      </c>
      <c r="D55" s="10">
        <v>0.0</v>
      </c>
      <c r="E55" s="10">
        <v>3.0</v>
      </c>
      <c r="F55" s="10">
        <v>0.0</v>
      </c>
    </row>
    <row r="56">
      <c r="A56" s="2" t="s">
        <v>83</v>
      </c>
      <c r="B56" s="10">
        <v>72.0</v>
      </c>
      <c r="C56" s="10">
        <v>0.0</v>
      </c>
      <c r="D56" s="10">
        <v>14.0</v>
      </c>
      <c r="E56" s="10">
        <v>72.0</v>
      </c>
      <c r="F56" s="10">
        <v>0.0</v>
      </c>
    </row>
    <row r="57">
      <c r="A57" s="2" t="s">
        <v>84</v>
      </c>
      <c r="B57" s="10">
        <v>938.0</v>
      </c>
      <c r="C57" s="10">
        <v>0.0</v>
      </c>
      <c r="D57" s="10">
        <v>147.0</v>
      </c>
      <c r="E57" s="10">
        <v>936.0</v>
      </c>
      <c r="F57" s="10">
        <v>0.0</v>
      </c>
    </row>
    <row r="58">
      <c r="A58" s="2" t="s">
        <v>85</v>
      </c>
      <c r="B58" s="10">
        <v>28.0</v>
      </c>
      <c r="C58" s="10">
        <v>0.0</v>
      </c>
      <c r="D58" s="10">
        <v>5.0</v>
      </c>
      <c r="E58" s="10">
        <v>28.0</v>
      </c>
      <c r="F58" s="10">
        <v>0.0</v>
      </c>
    </row>
    <row r="59">
      <c r="A59" s="2" t="s">
        <v>86</v>
      </c>
      <c r="B59" s="10">
        <v>119.0</v>
      </c>
      <c r="C59" s="10">
        <v>2.0</v>
      </c>
      <c r="D59" s="10">
        <v>86.0</v>
      </c>
      <c r="E59" s="10">
        <v>117.0</v>
      </c>
      <c r="F59" s="10">
        <v>0.0</v>
      </c>
    </row>
    <row r="60">
      <c r="A60" s="2" t="s">
        <v>87</v>
      </c>
      <c r="B60" s="10">
        <v>73.0</v>
      </c>
      <c r="C60" s="10">
        <v>0.0</v>
      </c>
      <c r="D60" s="10">
        <v>59.0</v>
      </c>
      <c r="E60" s="10">
        <v>73.0</v>
      </c>
      <c r="F60" s="10">
        <v>0.0</v>
      </c>
    </row>
    <row r="61">
      <c r="A61" s="2" t="s">
        <v>88</v>
      </c>
      <c r="B61" s="10">
        <v>16.0</v>
      </c>
      <c r="C61" s="10">
        <v>1.0</v>
      </c>
      <c r="D61" s="10">
        <v>10.0</v>
      </c>
      <c r="E61" s="10">
        <v>15.0</v>
      </c>
      <c r="F61" s="10">
        <v>0.0</v>
      </c>
    </row>
    <row r="62">
      <c r="A62" s="2" t="s">
        <v>89</v>
      </c>
      <c r="B62" s="10">
        <v>30.0</v>
      </c>
      <c r="C62" s="10">
        <v>1.0</v>
      </c>
      <c r="D62" s="10">
        <v>17.0</v>
      </c>
      <c r="E62" s="10">
        <v>29.0</v>
      </c>
      <c r="F62" s="10">
        <v>0.0</v>
      </c>
    </row>
    <row r="63">
      <c r="A63" s="2" t="s">
        <v>90</v>
      </c>
      <c r="B63" s="10">
        <v>71.0</v>
      </c>
      <c r="C63" s="10">
        <v>0.0</v>
      </c>
      <c r="D63" s="10">
        <v>58.0</v>
      </c>
      <c r="E63" s="10">
        <v>71.0</v>
      </c>
      <c r="F63" s="10">
        <v>0.0</v>
      </c>
    </row>
    <row r="64">
      <c r="A64" s="2" t="s">
        <v>91</v>
      </c>
      <c r="B64" s="10">
        <v>72.0</v>
      </c>
      <c r="C64" s="10">
        <v>1.0</v>
      </c>
      <c r="D64" s="10">
        <v>17.0</v>
      </c>
      <c r="E64" s="10">
        <v>71.0</v>
      </c>
      <c r="F64" s="10">
        <v>0.0</v>
      </c>
    </row>
    <row r="65">
      <c r="A65" s="2" t="s">
        <v>92</v>
      </c>
      <c r="B65" s="10">
        <v>75.0</v>
      </c>
      <c r="C65" s="10">
        <v>0.0</v>
      </c>
      <c r="D65" s="10">
        <v>22.0</v>
      </c>
      <c r="E65" s="10">
        <v>75.0</v>
      </c>
      <c r="F65" s="10">
        <v>0.0</v>
      </c>
    </row>
    <row r="66">
      <c r="A66" s="2" t="s">
        <v>93</v>
      </c>
      <c r="B66" s="10">
        <v>110.0</v>
      </c>
      <c r="C66" s="10">
        <v>0.0</v>
      </c>
      <c r="D66" s="10">
        <v>20.0</v>
      </c>
      <c r="E66" s="10">
        <v>110.0</v>
      </c>
      <c r="F66" s="10">
        <v>0.0</v>
      </c>
    </row>
    <row r="67">
      <c r="A67" s="2" t="s">
        <v>94</v>
      </c>
      <c r="B67" s="10">
        <v>52.0</v>
      </c>
      <c r="C67" s="10">
        <v>0.0</v>
      </c>
      <c r="D67" s="10">
        <v>39.0</v>
      </c>
      <c r="E67" s="10">
        <v>51.0</v>
      </c>
      <c r="F67" s="10">
        <v>0.0</v>
      </c>
    </row>
    <row r="68">
      <c r="A68" s="2" t="s">
        <v>95</v>
      </c>
      <c r="B68" s="10">
        <v>30.0</v>
      </c>
      <c r="C68" s="10">
        <v>0.0</v>
      </c>
      <c r="D68" s="10">
        <v>25.0</v>
      </c>
      <c r="E68" s="10">
        <v>29.0</v>
      </c>
      <c r="F68" s="10">
        <v>0.0</v>
      </c>
    </row>
    <row r="69">
      <c r="A69" s="2" t="s">
        <v>96</v>
      </c>
      <c r="B69" s="10">
        <v>10.0</v>
      </c>
      <c r="C69" s="10">
        <v>0.0</v>
      </c>
      <c r="D69" s="10">
        <v>9.0</v>
      </c>
      <c r="E69" s="10">
        <v>10.0</v>
      </c>
      <c r="F69" s="10">
        <v>0.0</v>
      </c>
    </row>
    <row r="70">
      <c r="A70" s="2" t="s">
        <v>97</v>
      </c>
      <c r="B70" s="10">
        <v>12.0</v>
      </c>
      <c r="C70" s="10">
        <v>0.0</v>
      </c>
      <c r="D70" s="10">
        <v>5.0</v>
      </c>
      <c r="E70" s="10">
        <v>12.0</v>
      </c>
      <c r="F70" s="10">
        <v>0.0</v>
      </c>
    </row>
    <row r="71">
      <c r="A71" s="2" t="s">
        <v>98</v>
      </c>
      <c r="B71" s="10">
        <v>74.0</v>
      </c>
      <c r="C71" s="10">
        <v>0.0</v>
      </c>
      <c r="D71" s="10">
        <v>34.0</v>
      </c>
      <c r="E71" s="10">
        <v>73.0</v>
      </c>
      <c r="F71" s="10">
        <v>0.0</v>
      </c>
    </row>
    <row r="72">
      <c r="A72" s="2" t="s">
        <v>99</v>
      </c>
      <c r="B72" s="10">
        <v>89.0</v>
      </c>
      <c r="C72" s="10">
        <v>1.0</v>
      </c>
      <c r="D72" s="10">
        <v>16.0</v>
      </c>
      <c r="E72" s="10">
        <v>88.0</v>
      </c>
      <c r="F72" s="10">
        <v>0.0</v>
      </c>
    </row>
    <row r="73">
      <c r="A73" s="2" t="s">
        <v>100</v>
      </c>
      <c r="B73" s="10">
        <v>690.0</v>
      </c>
      <c r="C73" s="10">
        <v>4.0</v>
      </c>
      <c r="D73" s="10">
        <v>297.0</v>
      </c>
      <c r="E73" s="10">
        <v>684.0</v>
      </c>
      <c r="F73" s="10">
        <v>0.0</v>
      </c>
    </row>
    <row r="74">
      <c r="A74" s="2" t="s">
        <v>101</v>
      </c>
      <c r="B74" s="10">
        <v>29.0</v>
      </c>
      <c r="C74" s="10">
        <v>1.0</v>
      </c>
      <c r="D74" s="10">
        <v>10.0</v>
      </c>
      <c r="E74" s="10">
        <v>28.0</v>
      </c>
      <c r="F74" s="10">
        <v>0.0</v>
      </c>
    </row>
    <row r="75">
      <c r="A75" s="2" t="s">
        <v>102</v>
      </c>
      <c r="B75" s="10">
        <v>129.0</v>
      </c>
      <c r="C75" s="10">
        <v>1.0</v>
      </c>
      <c r="D75" s="10">
        <v>25.0</v>
      </c>
      <c r="E75" s="10">
        <v>128.0</v>
      </c>
      <c r="F75" s="10">
        <v>0.0</v>
      </c>
    </row>
    <row r="76">
      <c r="A76" s="2" t="s">
        <v>103</v>
      </c>
      <c r="B76" s="10">
        <v>101.0</v>
      </c>
      <c r="C76" s="10">
        <v>2.0</v>
      </c>
      <c r="D76" s="10">
        <v>19.0</v>
      </c>
      <c r="E76" s="10">
        <v>99.0</v>
      </c>
      <c r="F76" s="10">
        <v>0.0</v>
      </c>
    </row>
    <row r="77">
      <c r="A77" s="2" t="s">
        <v>104</v>
      </c>
      <c r="B77" s="10">
        <v>84.0</v>
      </c>
      <c r="C77" s="10">
        <v>1.0</v>
      </c>
      <c r="D77" s="10">
        <v>18.0</v>
      </c>
      <c r="E77" s="10">
        <v>83.0</v>
      </c>
      <c r="F77" s="10">
        <v>0.0</v>
      </c>
    </row>
    <row r="78">
      <c r="A78" s="2" t="s">
        <v>105</v>
      </c>
      <c r="B78" s="10">
        <v>87.0</v>
      </c>
      <c r="C78" s="10">
        <v>1.0</v>
      </c>
      <c r="D78" s="10">
        <v>18.0</v>
      </c>
      <c r="E78" s="10">
        <v>87.0</v>
      </c>
      <c r="F78" s="10">
        <v>1.0</v>
      </c>
    </row>
    <row r="79">
      <c r="A79" s="2" t="s">
        <v>106</v>
      </c>
      <c r="B79" s="10">
        <v>68.0</v>
      </c>
      <c r="C79" s="10">
        <v>2.0</v>
      </c>
      <c r="D79" s="10">
        <v>10.0</v>
      </c>
      <c r="E79" s="10">
        <v>67.0</v>
      </c>
      <c r="F79" s="10">
        <v>1.0</v>
      </c>
    </row>
    <row r="80">
      <c r="A80" s="2" t="s">
        <v>107</v>
      </c>
      <c r="B80" s="10">
        <v>56.0</v>
      </c>
      <c r="C80" s="10">
        <v>1.0</v>
      </c>
      <c r="D80" s="10">
        <v>17.0</v>
      </c>
      <c r="E80" s="10">
        <v>55.0</v>
      </c>
      <c r="F80" s="10">
        <v>0.0</v>
      </c>
    </row>
    <row r="81">
      <c r="A81" s="2" t="s">
        <v>108</v>
      </c>
      <c r="B81" s="10">
        <v>34.0</v>
      </c>
      <c r="C81" s="10">
        <v>4.0</v>
      </c>
      <c r="D81" s="10">
        <v>12.0</v>
      </c>
      <c r="E81" s="10">
        <v>30.0</v>
      </c>
      <c r="F81" s="10">
        <v>0.0</v>
      </c>
    </row>
    <row r="82">
      <c r="A82" s="2" t="s">
        <v>109</v>
      </c>
      <c r="B82" s="10">
        <v>65.0</v>
      </c>
      <c r="C82" s="10">
        <v>2.0</v>
      </c>
      <c r="D82" s="10">
        <v>20.0</v>
      </c>
      <c r="E82" s="10">
        <v>63.0</v>
      </c>
      <c r="F82" s="10">
        <v>0.0</v>
      </c>
    </row>
    <row r="83">
      <c r="A83" s="2" t="s">
        <v>110</v>
      </c>
      <c r="B83" s="10">
        <v>33.0</v>
      </c>
      <c r="C83" s="10">
        <v>2.0</v>
      </c>
      <c r="D83" s="10">
        <v>5.0</v>
      </c>
      <c r="E83" s="10">
        <v>31.0</v>
      </c>
      <c r="F83" s="10">
        <v>0.0</v>
      </c>
    </row>
    <row r="84">
      <c r="A84" s="2" t="s">
        <v>111</v>
      </c>
      <c r="B84" s="10">
        <v>686.0</v>
      </c>
      <c r="C84" s="10">
        <v>17.0</v>
      </c>
      <c r="D84" s="10">
        <v>154.0</v>
      </c>
      <c r="E84" s="10">
        <v>671.0</v>
      </c>
      <c r="F84" s="10">
        <v>2.0</v>
      </c>
    </row>
    <row r="85">
      <c r="A85" s="2" t="s">
        <v>112</v>
      </c>
      <c r="B85" s="10">
        <v>103.0</v>
      </c>
      <c r="C85" s="10">
        <v>0.0</v>
      </c>
      <c r="D85" s="10">
        <v>26.0</v>
      </c>
      <c r="E85" s="10">
        <v>103.0</v>
      </c>
      <c r="F85" s="10">
        <v>0.0</v>
      </c>
    </row>
    <row r="86">
      <c r="A86" s="2" t="s">
        <v>113</v>
      </c>
      <c r="B86" s="10">
        <v>138.0</v>
      </c>
      <c r="C86" s="10">
        <v>3.0</v>
      </c>
      <c r="D86" s="10">
        <v>27.0</v>
      </c>
      <c r="E86" s="10">
        <v>135.0</v>
      </c>
      <c r="F86" s="10">
        <v>0.0</v>
      </c>
    </row>
    <row r="87">
      <c r="A87" s="2" t="s">
        <v>114</v>
      </c>
      <c r="B87" s="10">
        <v>100.0</v>
      </c>
      <c r="C87" s="10">
        <v>0.0</v>
      </c>
      <c r="D87" s="10">
        <v>23.0</v>
      </c>
      <c r="E87" s="10">
        <v>100.0</v>
      </c>
      <c r="F87" s="10">
        <v>0.0</v>
      </c>
    </row>
    <row r="88">
      <c r="A88" s="2" t="s">
        <v>115</v>
      </c>
      <c r="B88" s="10">
        <v>341.0</v>
      </c>
      <c r="C88" s="10">
        <v>3.0</v>
      </c>
      <c r="D88" s="10">
        <v>76.0</v>
      </c>
      <c r="E88" s="10">
        <v>338.0</v>
      </c>
      <c r="F88" s="10">
        <v>0.0</v>
      </c>
    </row>
    <row r="89">
      <c r="A89" s="2" t="s">
        <v>116</v>
      </c>
      <c r="B89" s="10">
        <v>88.0</v>
      </c>
      <c r="C89" s="10">
        <v>0.0</v>
      </c>
      <c r="D89" s="10">
        <v>21.0</v>
      </c>
      <c r="E89" s="10">
        <v>88.0</v>
      </c>
      <c r="F89" s="10">
        <v>0.0</v>
      </c>
    </row>
    <row r="90">
      <c r="A90" s="2" t="s">
        <v>117</v>
      </c>
      <c r="B90" s="10">
        <v>108.0</v>
      </c>
      <c r="C90" s="10">
        <v>1.0</v>
      </c>
      <c r="D90" s="10">
        <v>36.0</v>
      </c>
      <c r="E90" s="10">
        <v>107.0</v>
      </c>
      <c r="F90" s="10">
        <v>0.0</v>
      </c>
    </row>
    <row r="91">
      <c r="A91" s="2" t="s">
        <v>118</v>
      </c>
      <c r="B91" s="10">
        <v>196.0</v>
      </c>
      <c r="C91" s="10">
        <v>1.0</v>
      </c>
      <c r="D91" s="10">
        <v>57.0</v>
      </c>
      <c r="E91" s="10">
        <v>195.0</v>
      </c>
      <c r="F91" s="10">
        <v>0.0</v>
      </c>
    </row>
    <row r="92">
      <c r="A92" s="2" t="s">
        <v>119</v>
      </c>
      <c r="B92" s="10">
        <v>4366.0</v>
      </c>
      <c r="C92" s="10">
        <v>35.0</v>
      </c>
      <c r="D92" s="10">
        <v>1167.0</v>
      </c>
      <c r="E92" s="10">
        <v>4330.0</v>
      </c>
      <c r="F92" s="10">
        <v>3.0</v>
      </c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2" t="s">
        <v>120</v>
      </c>
    </row>
    <row r="96">
      <c r="A96" s="2" t="s">
        <v>132</v>
      </c>
    </row>
    <row r="97">
      <c r="A97" s="2" t="s">
        <v>133</v>
      </c>
    </row>
    <row r="98">
      <c r="A98" s="2" t="s">
        <v>134</v>
      </c>
    </row>
    <row r="99">
      <c r="A99" s="2" t="s">
        <v>135</v>
      </c>
    </row>
  </sheetData>
  <mergeCells count="10">
    <mergeCell ref="A97:F97"/>
    <mergeCell ref="A98:F98"/>
    <mergeCell ref="A99:F99"/>
    <mergeCell ref="A1:C1"/>
    <mergeCell ref="A2:B2"/>
    <mergeCell ref="A3:C3"/>
    <mergeCell ref="A5:F5"/>
    <mergeCell ref="A6:C6"/>
    <mergeCell ref="A95:F95"/>
    <mergeCell ref="A96:F9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</cols>
  <sheetData>
    <row r="1">
      <c r="A1" s="1" t="s">
        <v>1</v>
      </c>
      <c r="B1" s="4"/>
      <c r="C1" s="4"/>
      <c r="D1" s="7"/>
      <c r="E1" s="7"/>
      <c r="F1" s="7"/>
    </row>
    <row r="2">
      <c r="A2" s="1" t="s">
        <v>4</v>
      </c>
      <c r="B2" s="4"/>
      <c r="C2" s="7"/>
      <c r="D2" s="7"/>
      <c r="E2" s="7"/>
      <c r="F2" s="7"/>
    </row>
    <row r="3">
      <c r="A3" s="1" t="s">
        <v>5</v>
      </c>
      <c r="B3" s="4"/>
      <c r="C3" s="4"/>
      <c r="D3" s="7"/>
      <c r="E3" s="7"/>
      <c r="F3" s="7"/>
    </row>
    <row r="4">
      <c r="A4" s="7"/>
      <c r="B4" s="7"/>
      <c r="C4" s="7"/>
      <c r="D4" s="7"/>
      <c r="E4" s="7"/>
      <c r="F4" s="7"/>
    </row>
    <row r="5">
      <c r="A5" s="1" t="s">
        <v>6</v>
      </c>
      <c r="B5" s="4"/>
      <c r="C5" s="4"/>
      <c r="D5" s="4"/>
      <c r="E5" s="4"/>
      <c r="F5" s="4"/>
    </row>
    <row r="6">
      <c r="A6" s="1" t="s">
        <v>8</v>
      </c>
      <c r="B6" s="4"/>
      <c r="C6" s="4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</row>
    <row r="9">
      <c r="A9" s="1" t="s">
        <v>15</v>
      </c>
      <c r="B9" s="9">
        <v>20.0</v>
      </c>
      <c r="C9" s="9">
        <v>0.0</v>
      </c>
      <c r="D9" s="9">
        <v>10.0</v>
      </c>
      <c r="E9" s="9">
        <v>20.0</v>
      </c>
      <c r="F9" s="9">
        <v>0.0</v>
      </c>
    </row>
    <row r="10">
      <c r="A10" s="1" t="s">
        <v>17</v>
      </c>
      <c r="B10" s="9">
        <v>2.0</v>
      </c>
      <c r="C10" s="9">
        <v>0.0</v>
      </c>
      <c r="D10" s="9">
        <v>0.0</v>
      </c>
      <c r="E10" s="9">
        <v>2.0</v>
      </c>
      <c r="F10" s="9">
        <v>0.0</v>
      </c>
    </row>
    <row r="11">
      <c r="A11" s="1" t="s">
        <v>18</v>
      </c>
      <c r="B11" s="9">
        <v>66.0</v>
      </c>
      <c r="C11" s="9">
        <v>0.0</v>
      </c>
      <c r="D11" s="9">
        <v>4.0</v>
      </c>
      <c r="E11" s="9">
        <v>66.0</v>
      </c>
      <c r="F11" s="9">
        <v>0.0</v>
      </c>
    </row>
    <row r="12">
      <c r="A12" s="1" t="s">
        <v>19</v>
      </c>
      <c r="B12" s="9">
        <v>88.0</v>
      </c>
      <c r="C12" s="9">
        <v>0.0</v>
      </c>
      <c r="D12" s="9">
        <v>14.0</v>
      </c>
      <c r="E12" s="9">
        <v>88.0</v>
      </c>
      <c r="F12" s="9">
        <v>0.0</v>
      </c>
    </row>
    <row r="13">
      <c r="A13" s="1" t="s">
        <v>20</v>
      </c>
      <c r="B13" s="9">
        <v>0.0</v>
      </c>
      <c r="C13" s="9">
        <v>0.0</v>
      </c>
      <c r="D13" s="9">
        <v>0.0</v>
      </c>
      <c r="E13" s="9">
        <v>0.0</v>
      </c>
      <c r="F13" s="9">
        <v>0.0</v>
      </c>
    </row>
    <row r="14">
      <c r="A14" s="1" t="s">
        <v>21</v>
      </c>
      <c r="B14" s="9">
        <v>0.0</v>
      </c>
      <c r="C14" s="9">
        <v>0.0</v>
      </c>
      <c r="D14" s="9">
        <v>0.0</v>
      </c>
      <c r="E14" s="9">
        <v>0.0</v>
      </c>
      <c r="F14" s="9">
        <v>0.0</v>
      </c>
    </row>
    <row r="15">
      <c r="A15" s="1" t="s">
        <v>23</v>
      </c>
      <c r="B15" s="9">
        <v>0.0</v>
      </c>
      <c r="C15" s="9">
        <v>0.0</v>
      </c>
      <c r="D15" s="9">
        <v>0.0</v>
      </c>
      <c r="E15" s="9">
        <v>0.0</v>
      </c>
      <c r="F15" s="9">
        <v>0.0</v>
      </c>
    </row>
    <row r="16">
      <c r="A16" s="1" t="s">
        <v>24</v>
      </c>
      <c r="B16" s="9">
        <v>77.0</v>
      </c>
      <c r="C16" s="9">
        <v>0.0</v>
      </c>
      <c r="D16" s="9">
        <v>16.0</v>
      </c>
      <c r="E16" s="9">
        <v>77.0</v>
      </c>
      <c r="F16" s="9">
        <v>0.0</v>
      </c>
    </row>
    <row r="17">
      <c r="A17" s="1" t="s">
        <v>16</v>
      </c>
      <c r="B17" s="9">
        <v>0.0</v>
      </c>
      <c r="C17" s="9">
        <v>0.0</v>
      </c>
      <c r="D17" s="9">
        <v>0.0</v>
      </c>
      <c r="E17" s="9">
        <v>0.0</v>
      </c>
      <c r="F17" s="9">
        <v>0.0</v>
      </c>
    </row>
    <row r="18">
      <c r="A18" s="1" t="s">
        <v>25</v>
      </c>
      <c r="B18" s="9">
        <v>58.0</v>
      </c>
      <c r="C18" s="9">
        <v>0.0</v>
      </c>
      <c r="D18" s="9">
        <v>11.0</v>
      </c>
      <c r="E18" s="9">
        <v>58.0</v>
      </c>
      <c r="F18" s="9">
        <v>0.0</v>
      </c>
    </row>
    <row r="19">
      <c r="A19" s="1" t="s">
        <v>26</v>
      </c>
      <c r="B19" s="9">
        <v>65.0</v>
      </c>
      <c r="C19" s="9">
        <v>0.0</v>
      </c>
      <c r="D19" s="9">
        <v>18.0</v>
      </c>
      <c r="E19" s="9">
        <v>65.0</v>
      </c>
      <c r="F19" s="9">
        <v>0.0</v>
      </c>
    </row>
    <row r="20">
      <c r="A20" s="1" t="s">
        <v>27</v>
      </c>
      <c r="B20" s="9">
        <v>56.0</v>
      </c>
      <c r="C20" s="9">
        <v>0.0</v>
      </c>
      <c r="D20" s="9">
        <v>10.0</v>
      </c>
      <c r="E20" s="9">
        <v>56.0</v>
      </c>
      <c r="F20" s="9">
        <v>0.0</v>
      </c>
    </row>
    <row r="21">
      <c r="A21" s="1" t="s">
        <v>28</v>
      </c>
      <c r="B21" s="9">
        <v>144.0</v>
      </c>
      <c r="C21" s="9">
        <v>0.0</v>
      </c>
      <c r="D21" s="9">
        <v>69.0</v>
      </c>
      <c r="E21" s="9">
        <v>144.0</v>
      </c>
      <c r="F21" s="9">
        <v>0.0</v>
      </c>
    </row>
    <row r="22">
      <c r="A22" s="1" t="s">
        <v>29</v>
      </c>
      <c r="B22" s="9">
        <v>68.0</v>
      </c>
      <c r="C22" s="9">
        <v>1.0</v>
      </c>
      <c r="D22" s="9">
        <v>24.0</v>
      </c>
      <c r="E22" s="9">
        <v>67.0</v>
      </c>
      <c r="F22" s="9">
        <v>0.0</v>
      </c>
    </row>
    <row r="23">
      <c r="A23" s="1" t="s">
        <v>31</v>
      </c>
      <c r="B23" s="9">
        <v>468.0</v>
      </c>
      <c r="C23" s="9">
        <v>1.0</v>
      </c>
      <c r="D23" s="9">
        <v>148.0</v>
      </c>
      <c r="E23" s="9">
        <v>467.0</v>
      </c>
      <c r="F23" s="9">
        <v>0.0</v>
      </c>
    </row>
    <row r="24">
      <c r="A24" s="1" t="s">
        <v>32</v>
      </c>
      <c r="B24" s="9">
        <v>94.0</v>
      </c>
      <c r="C24" s="9">
        <v>3.0</v>
      </c>
      <c r="D24" s="9">
        <v>29.0</v>
      </c>
      <c r="E24" s="9">
        <v>91.0</v>
      </c>
      <c r="F24" s="9">
        <v>0.0</v>
      </c>
    </row>
    <row r="25">
      <c r="A25" s="1" t="s">
        <v>33</v>
      </c>
      <c r="B25" s="9">
        <v>88.0</v>
      </c>
      <c r="C25" s="9">
        <v>0.0</v>
      </c>
      <c r="D25" s="9">
        <v>20.0</v>
      </c>
      <c r="E25" s="9">
        <v>88.0</v>
      </c>
      <c r="F25" s="9">
        <v>0.0</v>
      </c>
    </row>
    <row r="26">
      <c r="A26" s="1" t="s">
        <v>34</v>
      </c>
      <c r="B26" s="9">
        <v>78.0</v>
      </c>
      <c r="C26" s="9">
        <v>1.0</v>
      </c>
      <c r="D26" s="9">
        <v>20.0</v>
      </c>
      <c r="E26" s="9">
        <v>77.0</v>
      </c>
      <c r="F26" s="9">
        <v>0.0</v>
      </c>
    </row>
    <row r="27">
      <c r="A27" s="1" t="s">
        <v>36</v>
      </c>
      <c r="B27" s="9">
        <v>79.0</v>
      </c>
      <c r="C27" s="9">
        <v>1.0</v>
      </c>
      <c r="D27" s="9">
        <v>25.0</v>
      </c>
      <c r="E27" s="9">
        <v>78.0</v>
      </c>
      <c r="F27" s="9">
        <v>0.0</v>
      </c>
    </row>
    <row r="28">
      <c r="A28" s="1" t="s">
        <v>37</v>
      </c>
      <c r="B28" s="9">
        <v>339.0</v>
      </c>
      <c r="C28" s="9">
        <v>5.0</v>
      </c>
      <c r="D28" s="9">
        <v>94.0</v>
      </c>
      <c r="E28" s="9">
        <v>334.0</v>
      </c>
      <c r="F28" s="9">
        <v>0.0</v>
      </c>
    </row>
    <row r="29">
      <c r="A29" s="1" t="s">
        <v>40</v>
      </c>
      <c r="B29" s="9">
        <v>166.0</v>
      </c>
      <c r="C29" s="9">
        <v>0.0</v>
      </c>
      <c r="D29" s="9">
        <v>46.0</v>
      </c>
      <c r="E29" s="9">
        <v>166.0</v>
      </c>
      <c r="F29" s="9">
        <v>0.0</v>
      </c>
    </row>
    <row r="30">
      <c r="A30" s="1" t="s">
        <v>44</v>
      </c>
      <c r="B30" s="9">
        <v>171.0</v>
      </c>
      <c r="C30" s="9">
        <v>1.0</v>
      </c>
      <c r="D30" s="9">
        <v>60.0</v>
      </c>
      <c r="E30" s="9">
        <v>171.0</v>
      </c>
      <c r="F30" s="9">
        <v>1.0</v>
      </c>
    </row>
    <row r="31">
      <c r="A31" s="1" t="s">
        <v>48</v>
      </c>
      <c r="B31" s="9">
        <v>112.0</v>
      </c>
      <c r="C31" s="9">
        <v>1.0</v>
      </c>
      <c r="D31" s="9">
        <v>37.0</v>
      </c>
      <c r="E31" s="9">
        <v>111.0</v>
      </c>
      <c r="F31" s="9">
        <v>0.0</v>
      </c>
    </row>
    <row r="32">
      <c r="A32" s="1" t="s">
        <v>52</v>
      </c>
      <c r="B32" s="9">
        <v>449.0</v>
      </c>
      <c r="C32" s="9">
        <v>2.0</v>
      </c>
      <c r="D32" s="9">
        <v>143.0</v>
      </c>
      <c r="E32" s="9">
        <v>448.0</v>
      </c>
      <c r="F32" s="9">
        <v>1.0</v>
      </c>
    </row>
    <row r="33">
      <c r="A33" s="1" t="s">
        <v>54</v>
      </c>
      <c r="B33" s="9">
        <v>100.0</v>
      </c>
      <c r="C33" s="9">
        <v>1.0</v>
      </c>
      <c r="D33" s="9">
        <v>20.0</v>
      </c>
      <c r="E33" s="9">
        <v>100.0</v>
      </c>
      <c r="F33" s="9">
        <v>1.0</v>
      </c>
    </row>
    <row r="34">
      <c r="A34" s="1" t="s">
        <v>58</v>
      </c>
      <c r="B34" s="9">
        <v>59.0</v>
      </c>
      <c r="C34" s="9">
        <v>1.0</v>
      </c>
      <c r="D34" s="9">
        <v>15.0</v>
      </c>
      <c r="E34" s="9">
        <v>59.0</v>
      </c>
      <c r="F34" s="9">
        <v>1.0</v>
      </c>
    </row>
    <row r="35">
      <c r="A35" s="1" t="s">
        <v>60</v>
      </c>
      <c r="B35" s="9">
        <v>159.0</v>
      </c>
      <c r="C35" s="9">
        <v>2.0</v>
      </c>
      <c r="D35" s="9">
        <v>35.0</v>
      </c>
      <c r="E35" s="9">
        <v>159.0</v>
      </c>
      <c r="F35" s="9">
        <v>2.0</v>
      </c>
    </row>
    <row r="36">
      <c r="A36" s="1" t="s">
        <v>61</v>
      </c>
      <c r="B36" s="9">
        <v>72.0</v>
      </c>
      <c r="C36" s="9">
        <v>0.0</v>
      </c>
      <c r="D36" s="9">
        <v>8.0</v>
      </c>
      <c r="E36" s="9">
        <v>72.0</v>
      </c>
      <c r="F36" s="9">
        <v>0.0</v>
      </c>
    </row>
    <row r="37">
      <c r="A37" s="1" t="s">
        <v>62</v>
      </c>
      <c r="B37" s="9">
        <v>32.0</v>
      </c>
      <c r="C37" s="9">
        <v>0.0</v>
      </c>
      <c r="D37" s="9">
        <v>1.0</v>
      </c>
      <c r="E37" s="9">
        <v>32.0</v>
      </c>
      <c r="F37" s="9">
        <v>0.0</v>
      </c>
    </row>
    <row r="38">
      <c r="A38" s="1" t="s">
        <v>63</v>
      </c>
      <c r="B38" s="9">
        <v>55.0</v>
      </c>
      <c r="C38" s="9">
        <v>0.0</v>
      </c>
      <c r="D38" s="9">
        <v>6.0</v>
      </c>
      <c r="E38" s="9">
        <v>54.0</v>
      </c>
      <c r="F38" s="9">
        <v>0.0</v>
      </c>
    </row>
    <row r="39">
      <c r="A39" s="1" t="s">
        <v>64</v>
      </c>
      <c r="B39" s="9">
        <v>55.0</v>
      </c>
      <c r="C39" s="9">
        <v>0.0</v>
      </c>
      <c r="D39" s="9">
        <v>8.0</v>
      </c>
      <c r="E39" s="9">
        <v>54.0</v>
      </c>
      <c r="F39" s="9">
        <v>0.0</v>
      </c>
    </row>
    <row r="40">
      <c r="A40" s="1" t="s">
        <v>65</v>
      </c>
      <c r="B40" s="9">
        <v>33.0</v>
      </c>
      <c r="C40" s="9">
        <v>0.0</v>
      </c>
      <c r="D40" s="9">
        <v>5.0</v>
      </c>
      <c r="E40" s="9">
        <v>33.0</v>
      </c>
      <c r="F40" s="9">
        <v>0.0</v>
      </c>
    </row>
    <row r="41">
      <c r="A41" s="1" t="s">
        <v>66</v>
      </c>
      <c r="B41" s="9">
        <v>12.0</v>
      </c>
      <c r="C41" s="9">
        <v>0.0</v>
      </c>
      <c r="D41" s="9">
        <v>3.0</v>
      </c>
      <c r="E41" s="9">
        <v>12.0</v>
      </c>
      <c r="F41" s="9">
        <v>0.0</v>
      </c>
    </row>
    <row r="42">
      <c r="A42" s="1" t="s">
        <v>67</v>
      </c>
      <c r="B42" s="9">
        <v>10.0</v>
      </c>
      <c r="C42" s="9">
        <v>0.0</v>
      </c>
      <c r="D42" s="9">
        <v>0.0</v>
      </c>
      <c r="E42" s="9">
        <v>9.0</v>
      </c>
      <c r="F42" s="9">
        <v>0.0</v>
      </c>
    </row>
    <row r="43">
      <c r="A43" s="1" t="s">
        <v>68</v>
      </c>
      <c r="B43" s="9">
        <v>40.0</v>
      </c>
      <c r="C43" s="9">
        <v>0.0</v>
      </c>
      <c r="D43" s="9">
        <v>7.0</v>
      </c>
      <c r="E43" s="9">
        <v>40.0</v>
      </c>
      <c r="F43" s="9">
        <v>0.0</v>
      </c>
    </row>
    <row r="44">
      <c r="A44" s="1" t="s">
        <v>69</v>
      </c>
      <c r="B44" s="9">
        <v>28.0</v>
      </c>
      <c r="C44" s="9">
        <v>0.0</v>
      </c>
      <c r="D44" s="9">
        <v>8.0</v>
      </c>
      <c r="E44" s="9">
        <v>28.0</v>
      </c>
      <c r="F44" s="9">
        <v>0.0</v>
      </c>
    </row>
    <row r="45">
      <c r="A45" s="1" t="s">
        <v>70</v>
      </c>
      <c r="B45" s="9">
        <v>35.0</v>
      </c>
      <c r="C45" s="9">
        <v>0.0</v>
      </c>
      <c r="D45" s="9">
        <v>6.0</v>
      </c>
      <c r="E45" s="9">
        <v>35.0</v>
      </c>
      <c r="F45" s="9">
        <v>0.0</v>
      </c>
    </row>
    <row r="46">
      <c r="A46" s="1" t="s">
        <v>71</v>
      </c>
      <c r="B46" s="9">
        <v>62.0</v>
      </c>
      <c r="C46" s="9">
        <v>0.0</v>
      </c>
      <c r="D46" s="9">
        <v>16.0</v>
      </c>
      <c r="E46" s="9">
        <v>62.0</v>
      </c>
      <c r="F46" s="9">
        <v>0.0</v>
      </c>
    </row>
    <row r="47">
      <c r="A47" s="1" t="s">
        <v>72</v>
      </c>
      <c r="B47" s="9">
        <v>142.0</v>
      </c>
      <c r="C47" s="9">
        <v>0.0</v>
      </c>
      <c r="D47" s="9">
        <v>23.0</v>
      </c>
      <c r="E47" s="9">
        <v>142.0</v>
      </c>
      <c r="F47" s="9">
        <v>0.0</v>
      </c>
    </row>
    <row r="48">
      <c r="A48" s="1" t="s">
        <v>73</v>
      </c>
      <c r="B48" s="9">
        <v>24.0</v>
      </c>
      <c r="C48" s="9">
        <v>0.0</v>
      </c>
      <c r="D48" s="9">
        <v>0.0</v>
      </c>
      <c r="E48" s="9">
        <v>24.0</v>
      </c>
      <c r="F48" s="9">
        <v>0.0</v>
      </c>
    </row>
    <row r="49">
      <c r="A49" s="1" t="s">
        <v>74</v>
      </c>
      <c r="B49" s="9">
        <v>5.0</v>
      </c>
      <c r="C49" s="9">
        <v>0.0</v>
      </c>
      <c r="D49" s="9">
        <v>0.0</v>
      </c>
      <c r="E49" s="9">
        <v>5.0</v>
      </c>
      <c r="F49" s="9">
        <v>0.0</v>
      </c>
    </row>
    <row r="50">
      <c r="A50" s="1" t="s">
        <v>75</v>
      </c>
      <c r="B50" s="9">
        <v>11.0</v>
      </c>
      <c r="C50" s="9">
        <v>0.0</v>
      </c>
      <c r="D50" s="9">
        <v>0.0</v>
      </c>
      <c r="E50" s="9">
        <v>11.0</v>
      </c>
      <c r="F50" s="9">
        <v>0.0</v>
      </c>
    </row>
    <row r="51">
      <c r="A51" s="1" t="s">
        <v>76</v>
      </c>
      <c r="B51" s="9">
        <v>8.0</v>
      </c>
      <c r="C51" s="9">
        <v>0.0</v>
      </c>
      <c r="D51" s="9">
        <v>0.0</v>
      </c>
      <c r="E51" s="9">
        <v>8.0</v>
      </c>
      <c r="F51" s="9">
        <v>0.0</v>
      </c>
    </row>
    <row r="52">
      <c r="A52" s="1" t="s">
        <v>77</v>
      </c>
      <c r="B52" s="9">
        <v>192.0</v>
      </c>
      <c r="C52" s="9">
        <v>0.0</v>
      </c>
      <c r="D52" s="9">
        <v>43.0</v>
      </c>
      <c r="E52" s="9">
        <v>192.0</v>
      </c>
      <c r="F52" s="9">
        <v>0.0</v>
      </c>
    </row>
    <row r="53">
      <c r="A53" s="1" t="s">
        <v>78</v>
      </c>
      <c r="B53" s="9">
        <v>61.0</v>
      </c>
      <c r="C53" s="9">
        <v>0.0</v>
      </c>
      <c r="D53" s="9">
        <v>9.0</v>
      </c>
      <c r="E53" s="9">
        <v>61.0</v>
      </c>
      <c r="F53" s="9">
        <v>0.0</v>
      </c>
    </row>
    <row r="54">
      <c r="A54" s="1" t="s">
        <v>79</v>
      </c>
      <c r="B54" s="9">
        <v>56.0</v>
      </c>
      <c r="C54" s="9">
        <v>0.0</v>
      </c>
      <c r="D54" s="9">
        <v>4.0</v>
      </c>
      <c r="E54" s="9">
        <v>56.0</v>
      </c>
      <c r="F54" s="9">
        <v>0.0</v>
      </c>
    </row>
    <row r="55">
      <c r="A55" s="1" t="s">
        <v>80</v>
      </c>
      <c r="B55" s="9">
        <v>40.0</v>
      </c>
      <c r="C55" s="9">
        <v>0.0</v>
      </c>
      <c r="D55" s="9">
        <v>3.0</v>
      </c>
      <c r="E55" s="9">
        <v>40.0</v>
      </c>
      <c r="F55" s="9">
        <v>0.0</v>
      </c>
    </row>
    <row r="56">
      <c r="A56" s="1" t="s">
        <v>81</v>
      </c>
      <c r="B56" s="9">
        <v>13.0</v>
      </c>
      <c r="C56" s="9">
        <v>0.0</v>
      </c>
      <c r="D56" s="9">
        <v>1.0</v>
      </c>
      <c r="E56" s="9">
        <v>13.0</v>
      </c>
      <c r="F56" s="9">
        <v>0.0</v>
      </c>
    </row>
    <row r="57">
      <c r="A57" s="1" t="s">
        <v>82</v>
      </c>
      <c r="B57" s="9">
        <v>3.0</v>
      </c>
      <c r="C57" s="9">
        <v>0.0</v>
      </c>
      <c r="D57" s="9">
        <v>0.0</v>
      </c>
      <c r="E57" s="9">
        <v>3.0</v>
      </c>
      <c r="F57" s="9">
        <v>0.0</v>
      </c>
    </row>
    <row r="58">
      <c r="A58" s="1" t="s">
        <v>83</v>
      </c>
      <c r="B58" s="9">
        <v>71.0</v>
      </c>
      <c r="C58" s="9">
        <v>0.0</v>
      </c>
      <c r="D58" s="9">
        <v>13.0</v>
      </c>
      <c r="E58" s="9">
        <v>71.0</v>
      </c>
      <c r="F58" s="9">
        <v>0.0</v>
      </c>
    </row>
    <row r="59">
      <c r="A59" s="1" t="s">
        <v>84</v>
      </c>
      <c r="B59" s="9">
        <v>925.0</v>
      </c>
      <c r="C59" s="9">
        <v>0.0</v>
      </c>
      <c r="D59" s="9">
        <v>152.0</v>
      </c>
      <c r="E59" s="9">
        <v>923.0</v>
      </c>
      <c r="F59" s="9">
        <v>0.0</v>
      </c>
    </row>
    <row r="60">
      <c r="A60" s="1" t="s">
        <v>85</v>
      </c>
      <c r="B60" s="9">
        <v>28.0</v>
      </c>
      <c r="C60" s="9">
        <v>0.0</v>
      </c>
      <c r="D60" s="9">
        <v>5.0</v>
      </c>
      <c r="E60" s="9">
        <v>28.0</v>
      </c>
      <c r="F60" s="9">
        <v>0.0</v>
      </c>
    </row>
    <row r="61">
      <c r="A61" s="1" t="s">
        <v>86</v>
      </c>
      <c r="B61" s="9">
        <v>115.0</v>
      </c>
      <c r="C61" s="9">
        <v>3.0</v>
      </c>
      <c r="D61" s="9">
        <v>84.0</v>
      </c>
      <c r="E61" s="9">
        <v>112.0</v>
      </c>
      <c r="F61" s="9">
        <v>0.0</v>
      </c>
    </row>
    <row r="62">
      <c r="A62" s="1" t="s">
        <v>87</v>
      </c>
      <c r="B62" s="9">
        <v>69.0</v>
      </c>
      <c r="C62" s="9">
        <v>1.0</v>
      </c>
      <c r="D62" s="9">
        <v>57.0</v>
      </c>
      <c r="E62" s="9">
        <v>68.0</v>
      </c>
      <c r="F62" s="9">
        <v>0.0</v>
      </c>
    </row>
    <row r="63">
      <c r="A63" s="1" t="s">
        <v>88</v>
      </c>
      <c r="B63" s="9">
        <v>17.0</v>
      </c>
      <c r="C63" s="9">
        <v>1.0</v>
      </c>
      <c r="D63" s="9">
        <v>11.0</v>
      </c>
      <c r="E63" s="9">
        <v>16.0</v>
      </c>
      <c r="F63" s="9">
        <v>0.0</v>
      </c>
    </row>
    <row r="64">
      <c r="A64" s="1" t="s">
        <v>89</v>
      </c>
      <c r="B64" s="9">
        <v>29.0</v>
      </c>
      <c r="C64" s="9">
        <v>1.0</v>
      </c>
      <c r="D64" s="9">
        <v>16.0</v>
      </c>
      <c r="E64" s="9">
        <v>28.0</v>
      </c>
      <c r="F64" s="9">
        <v>0.0</v>
      </c>
    </row>
    <row r="65">
      <c r="A65" s="1" t="s">
        <v>90</v>
      </c>
      <c r="B65" s="9">
        <v>72.0</v>
      </c>
      <c r="C65" s="9">
        <v>0.0</v>
      </c>
      <c r="D65" s="9">
        <v>54.0</v>
      </c>
      <c r="E65" s="9">
        <v>72.0</v>
      </c>
      <c r="F65" s="9">
        <v>0.0</v>
      </c>
    </row>
    <row r="66">
      <c r="A66" s="1" t="s">
        <v>91</v>
      </c>
      <c r="B66" s="9">
        <v>73.0</v>
      </c>
      <c r="C66" s="9">
        <v>1.0</v>
      </c>
      <c r="D66" s="9">
        <v>16.0</v>
      </c>
      <c r="E66" s="9">
        <v>72.0</v>
      </c>
      <c r="F66" s="9">
        <v>0.0</v>
      </c>
    </row>
    <row r="67">
      <c r="A67" s="1" t="s">
        <v>92</v>
      </c>
      <c r="B67" s="9">
        <v>75.0</v>
      </c>
      <c r="C67" s="9">
        <v>0.0</v>
      </c>
      <c r="D67" s="9">
        <v>22.0</v>
      </c>
      <c r="E67" s="9">
        <v>75.0</v>
      </c>
      <c r="F67" s="9">
        <v>0.0</v>
      </c>
    </row>
    <row r="68">
      <c r="A68" s="1" t="s">
        <v>93</v>
      </c>
      <c r="B68" s="9">
        <v>109.0</v>
      </c>
      <c r="C68" s="9">
        <v>0.0</v>
      </c>
      <c r="D68" s="9">
        <v>18.0</v>
      </c>
      <c r="E68" s="9">
        <v>109.0</v>
      </c>
      <c r="F68" s="9">
        <v>0.0</v>
      </c>
    </row>
    <row r="69">
      <c r="A69" s="1" t="s">
        <v>94</v>
      </c>
      <c r="B69" s="9">
        <v>54.0</v>
      </c>
      <c r="C69" s="9">
        <v>0.0</v>
      </c>
      <c r="D69" s="9">
        <v>48.0</v>
      </c>
      <c r="E69" s="9">
        <v>53.0</v>
      </c>
      <c r="F69" s="9">
        <v>0.0</v>
      </c>
    </row>
    <row r="70">
      <c r="A70" s="1" t="s">
        <v>95</v>
      </c>
      <c r="B70" s="9">
        <v>31.0</v>
      </c>
      <c r="C70" s="9">
        <v>0.0</v>
      </c>
      <c r="D70" s="9">
        <v>26.0</v>
      </c>
      <c r="E70" s="9">
        <v>30.0</v>
      </c>
      <c r="F70" s="9">
        <v>0.0</v>
      </c>
    </row>
    <row r="71">
      <c r="A71" s="1" t="s">
        <v>96</v>
      </c>
      <c r="B71" s="9">
        <v>10.0</v>
      </c>
      <c r="C71" s="9">
        <v>0.0</v>
      </c>
      <c r="D71" s="9">
        <v>9.0</v>
      </c>
      <c r="E71" s="9">
        <v>10.0</v>
      </c>
      <c r="F71" s="9">
        <v>0.0</v>
      </c>
    </row>
    <row r="72">
      <c r="A72" s="1" t="s">
        <v>97</v>
      </c>
      <c r="B72" s="9">
        <v>13.0</v>
      </c>
      <c r="C72" s="9">
        <v>0.0</v>
      </c>
      <c r="D72" s="9">
        <v>13.0</v>
      </c>
      <c r="E72" s="9">
        <v>13.0</v>
      </c>
      <c r="F72" s="9">
        <v>0.0</v>
      </c>
    </row>
    <row r="73">
      <c r="A73" s="1" t="s">
        <v>98</v>
      </c>
      <c r="B73" s="9">
        <v>75.0</v>
      </c>
      <c r="C73" s="9">
        <v>0.0</v>
      </c>
      <c r="D73" s="9">
        <v>33.0</v>
      </c>
      <c r="E73" s="9">
        <v>74.0</v>
      </c>
      <c r="F73" s="9">
        <v>0.0</v>
      </c>
    </row>
    <row r="74">
      <c r="A74" s="1" t="s">
        <v>99</v>
      </c>
      <c r="B74" s="9">
        <v>89.0</v>
      </c>
      <c r="C74" s="9">
        <v>1.0</v>
      </c>
      <c r="D74" s="9">
        <v>17.0</v>
      </c>
      <c r="E74" s="9">
        <v>88.0</v>
      </c>
      <c r="F74" s="9">
        <v>0.0</v>
      </c>
    </row>
    <row r="75">
      <c r="A75" s="1" t="s">
        <v>100</v>
      </c>
      <c r="B75" s="9">
        <v>690.0</v>
      </c>
      <c r="C75" s="9">
        <v>5.0</v>
      </c>
      <c r="D75" s="9">
        <v>297.0</v>
      </c>
      <c r="E75" s="9">
        <v>683.0</v>
      </c>
      <c r="F75" s="9">
        <v>0.0</v>
      </c>
    </row>
    <row r="76">
      <c r="A76" s="1" t="s">
        <v>101</v>
      </c>
      <c r="B76" s="9">
        <v>29.0</v>
      </c>
      <c r="C76" s="9">
        <v>1.0</v>
      </c>
      <c r="D76" s="9">
        <v>9.0</v>
      </c>
      <c r="E76" s="9">
        <v>28.0</v>
      </c>
      <c r="F76" s="9">
        <v>0.0</v>
      </c>
    </row>
    <row r="77">
      <c r="A77" s="1" t="s">
        <v>102</v>
      </c>
      <c r="B77" s="9">
        <v>130.0</v>
      </c>
      <c r="C77" s="9">
        <v>1.0</v>
      </c>
      <c r="D77" s="9">
        <v>25.0</v>
      </c>
      <c r="E77" s="9">
        <v>129.0</v>
      </c>
      <c r="F77" s="9">
        <v>0.0</v>
      </c>
    </row>
    <row r="78">
      <c r="A78" s="1" t="s">
        <v>103</v>
      </c>
      <c r="B78" s="9">
        <v>101.0</v>
      </c>
      <c r="C78" s="9">
        <v>2.0</v>
      </c>
      <c r="D78" s="9">
        <v>21.0</v>
      </c>
      <c r="E78" s="9">
        <v>98.0</v>
      </c>
      <c r="F78" s="9">
        <v>0.0</v>
      </c>
    </row>
    <row r="79">
      <c r="A79" s="1" t="s">
        <v>104</v>
      </c>
      <c r="B79" s="9">
        <v>83.0</v>
      </c>
      <c r="C79" s="9">
        <v>1.0</v>
      </c>
      <c r="D79" s="9">
        <v>17.0</v>
      </c>
      <c r="E79" s="9">
        <v>82.0</v>
      </c>
      <c r="F79" s="9">
        <v>0.0</v>
      </c>
    </row>
    <row r="80">
      <c r="A80" s="1" t="s">
        <v>105</v>
      </c>
      <c r="B80" s="9">
        <v>88.0</v>
      </c>
      <c r="C80" s="9">
        <v>0.0</v>
      </c>
      <c r="D80" s="9">
        <v>20.0</v>
      </c>
      <c r="E80" s="9">
        <v>87.0</v>
      </c>
      <c r="F80" s="9">
        <v>0.0</v>
      </c>
    </row>
    <row r="81">
      <c r="A81" s="1" t="s">
        <v>106</v>
      </c>
      <c r="B81" s="9">
        <v>65.0</v>
      </c>
      <c r="C81" s="9">
        <v>1.0</v>
      </c>
      <c r="D81" s="9">
        <v>9.0</v>
      </c>
      <c r="E81" s="9">
        <v>63.0</v>
      </c>
      <c r="F81" s="9">
        <v>0.0</v>
      </c>
    </row>
    <row r="82">
      <c r="A82" s="1" t="s">
        <v>107</v>
      </c>
      <c r="B82" s="9">
        <v>54.0</v>
      </c>
      <c r="C82" s="9">
        <v>1.0</v>
      </c>
      <c r="D82" s="9">
        <v>14.0</v>
      </c>
      <c r="E82" s="9">
        <v>53.0</v>
      </c>
      <c r="F82" s="9">
        <v>0.0</v>
      </c>
    </row>
    <row r="83">
      <c r="A83" s="1" t="s">
        <v>108</v>
      </c>
      <c r="B83" s="9">
        <v>30.0</v>
      </c>
      <c r="C83" s="9">
        <v>4.0</v>
      </c>
      <c r="D83" s="9">
        <v>9.0</v>
      </c>
      <c r="E83" s="9">
        <v>27.0</v>
      </c>
      <c r="F83" s="9">
        <v>1.0</v>
      </c>
    </row>
    <row r="84">
      <c r="A84" s="1" t="s">
        <v>109</v>
      </c>
      <c r="B84" s="9">
        <v>62.0</v>
      </c>
      <c r="C84" s="9">
        <v>2.0</v>
      </c>
      <c r="D84" s="9">
        <v>19.0</v>
      </c>
      <c r="E84" s="9">
        <v>60.0</v>
      </c>
      <c r="F84" s="9">
        <v>0.0</v>
      </c>
    </row>
    <row r="85">
      <c r="A85" s="1" t="s">
        <v>110</v>
      </c>
      <c r="B85" s="9">
        <v>33.0</v>
      </c>
      <c r="C85" s="9">
        <v>2.0</v>
      </c>
      <c r="D85" s="9">
        <v>5.0</v>
      </c>
      <c r="E85" s="9">
        <v>31.0</v>
      </c>
      <c r="F85" s="9">
        <v>0.0</v>
      </c>
    </row>
    <row r="86">
      <c r="A86" s="1" t="s">
        <v>111</v>
      </c>
      <c r="B86" s="9">
        <v>675.0</v>
      </c>
      <c r="C86" s="9">
        <v>15.0</v>
      </c>
      <c r="D86" s="9">
        <v>148.0</v>
      </c>
      <c r="E86" s="9">
        <v>658.0</v>
      </c>
      <c r="F86" s="9">
        <v>1.0</v>
      </c>
    </row>
    <row r="87">
      <c r="A87" s="1" t="s">
        <v>112</v>
      </c>
      <c r="B87" s="9">
        <v>102.0</v>
      </c>
      <c r="C87" s="9">
        <v>0.0</v>
      </c>
      <c r="D87" s="9">
        <v>26.0</v>
      </c>
      <c r="E87" s="9">
        <v>102.0</v>
      </c>
      <c r="F87" s="9">
        <v>0.0</v>
      </c>
    </row>
    <row r="88">
      <c r="A88" s="1" t="s">
        <v>113</v>
      </c>
      <c r="B88" s="9">
        <v>138.0</v>
      </c>
      <c r="C88" s="9">
        <v>4.0</v>
      </c>
      <c r="D88" s="9">
        <v>27.0</v>
      </c>
      <c r="E88" s="9">
        <v>135.0</v>
      </c>
      <c r="F88" s="9">
        <v>0.0</v>
      </c>
    </row>
    <row r="89">
      <c r="A89" s="1" t="s">
        <v>114</v>
      </c>
      <c r="B89" s="9">
        <v>103.0</v>
      </c>
      <c r="C89" s="9">
        <v>0.0</v>
      </c>
      <c r="D89" s="9">
        <v>20.0</v>
      </c>
      <c r="E89" s="9">
        <v>103.0</v>
      </c>
      <c r="F89" s="9">
        <v>0.0</v>
      </c>
    </row>
    <row r="90">
      <c r="A90" s="1" t="s">
        <v>115</v>
      </c>
      <c r="B90" s="9">
        <v>343.0</v>
      </c>
      <c r="C90" s="9">
        <v>4.0</v>
      </c>
      <c r="D90" s="9">
        <v>73.0</v>
      </c>
      <c r="E90" s="9">
        <v>340.0</v>
      </c>
      <c r="F90" s="9">
        <v>0.0</v>
      </c>
    </row>
    <row r="91">
      <c r="A91" s="1" t="s">
        <v>116</v>
      </c>
      <c r="B91" s="9">
        <v>88.0</v>
      </c>
      <c r="C91" s="9">
        <v>0.0</v>
      </c>
      <c r="D91" s="9">
        <v>23.0</v>
      </c>
      <c r="E91" s="9">
        <v>88.0</v>
      </c>
      <c r="F91" s="9">
        <v>0.0</v>
      </c>
    </row>
    <row r="92">
      <c r="A92" s="1" t="s">
        <v>117</v>
      </c>
      <c r="B92" s="9">
        <v>109.0</v>
      </c>
      <c r="C92" s="9">
        <v>1.0</v>
      </c>
      <c r="D92" s="9">
        <v>38.0</v>
      </c>
      <c r="E92" s="9">
        <v>108.0</v>
      </c>
      <c r="F92" s="9">
        <v>0.0</v>
      </c>
    </row>
    <row r="93">
      <c r="A93" s="1" t="s">
        <v>118</v>
      </c>
      <c r="B93" s="9">
        <v>197.0</v>
      </c>
      <c r="C93" s="9">
        <v>1.0</v>
      </c>
      <c r="D93" s="9">
        <v>61.0</v>
      </c>
      <c r="E93" s="9">
        <v>196.0</v>
      </c>
      <c r="F93" s="9">
        <v>0.0</v>
      </c>
    </row>
    <row r="94">
      <c r="A94" s="1" t="s">
        <v>119</v>
      </c>
      <c r="B94" s="9">
        <v>4333.0</v>
      </c>
      <c r="C94" s="9">
        <v>35.0</v>
      </c>
      <c r="D94" s="9">
        <v>1165.0</v>
      </c>
      <c r="E94" s="9">
        <v>4296.0</v>
      </c>
      <c r="F94" s="9">
        <v>4.0</v>
      </c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1" t="s">
        <v>120</v>
      </c>
      <c r="B97" s="4"/>
      <c r="C97" s="4"/>
      <c r="D97" s="4"/>
      <c r="E97" s="4"/>
      <c r="F97" s="4"/>
    </row>
    <row r="98">
      <c r="A98" s="1" t="s">
        <v>121</v>
      </c>
      <c r="B98" s="1" t="s">
        <v>122</v>
      </c>
      <c r="C98" s="1" t="s">
        <v>123</v>
      </c>
      <c r="D98" s="1" t="s">
        <v>124</v>
      </c>
      <c r="E98" s="4"/>
      <c r="F98" s="4"/>
    </row>
    <row r="99">
      <c r="A99" s="1" t="s">
        <v>125</v>
      </c>
      <c r="B99" s="1" t="s">
        <v>126</v>
      </c>
      <c r="C99" s="1" t="s">
        <v>127</v>
      </c>
      <c r="D99" s="1" t="s">
        <v>128</v>
      </c>
      <c r="E99" s="7"/>
      <c r="F99" s="7"/>
    </row>
    <row r="100">
      <c r="A100" s="1" t="s">
        <v>129</v>
      </c>
      <c r="B100" s="7"/>
      <c r="C100" s="7"/>
      <c r="D100" s="7"/>
      <c r="E100" s="7"/>
      <c r="F100" s="7"/>
    </row>
    <row r="101">
      <c r="A101" s="1" t="s">
        <v>130</v>
      </c>
      <c r="B101" s="7"/>
      <c r="C101" s="7"/>
      <c r="D101" s="7"/>
      <c r="E101" s="7"/>
      <c r="F10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14"/>
  </cols>
  <sheetData>
    <row r="1">
      <c r="A1" s="2" t="s">
        <v>2</v>
      </c>
      <c r="D1" s="5"/>
      <c r="E1" s="5"/>
      <c r="F1" s="5"/>
      <c r="G1" s="5"/>
      <c r="H1" s="5"/>
      <c r="I1" s="5"/>
      <c r="J1" s="5"/>
      <c r="K1" s="5"/>
      <c r="L1" s="5"/>
    </row>
    <row r="2">
      <c r="A2" s="2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2" t="s">
        <v>5</v>
      </c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2" t="s">
        <v>6</v>
      </c>
      <c r="G5" s="5"/>
      <c r="H5" s="5"/>
      <c r="I5" s="5"/>
      <c r="J5" s="5"/>
      <c r="K5" s="5"/>
      <c r="L5" s="5"/>
    </row>
    <row r="6">
      <c r="A6" s="2" t="s">
        <v>139</v>
      </c>
      <c r="D6" s="5"/>
      <c r="E6" s="5"/>
      <c r="F6" s="5"/>
      <c r="G6" s="5"/>
      <c r="H6" s="5"/>
      <c r="I6" s="5"/>
      <c r="J6" s="5"/>
      <c r="K6" s="5"/>
      <c r="L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/>
      <c r="H8" s="2"/>
      <c r="I8" s="2"/>
      <c r="J8" s="2"/>
      <c r="K8" s="2"/>
      <c r="L8" s="2"/>
    </row>
    <row r="9">
      <c r="A9" s="2" t="s">
        <v>24</v>
      </c>
      <c r="B9" s="10">
        <v>76.0</v>
      </c>
      <c r="C9" s="10">
        <v>0.0</v>
      </c>
      <c r="D9" s="10">
        <v>14.0</v>
      </c>
      <c r="E9" s="10">
        <v>76.0</v>
      </c>
      <c r="F9" s="10">
        <v>0.0</v>
      </c>
      <c r="G9" s="10"/>
      <c r="H9" s="10"/>
      <c r="I9" s="10"/>
      <c r="J9" s="10"/>
      <c r="K9" s="10"/>
      <c r="L9" s="10"/>
    </row>
    <row r="10">
      <c r="A10" s="2" t="s">
        <v>16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/>
      <c r="H10" s="10"/>
      <c r="I10" s="10"/>
      <c r="J10" s="10"/>
      <c r="K10" s="10"/>
      <c r="L10" s="10"/>
    </row>
    <row r="11">
      <c r="A11" s="2" t="s">
        <v>25</v>
      </c>
      <c r="B11" s="10">
        <v>61.0</v>
      </c>
      <c r="C11" s="10">
        <v>1.0</v>
      </c>
      <c r="D11" s="10">
        <v>13.0</v>
      </c>
      <c r="E11" s="10">
        <v>59.0</v>
      </c>
      <c r="F11" s="10">
        <v>0.0</v>
      </c>
      <c r="G11" s="10"/>
      <c r="H11" s="10"/>
      <c r="I11" s="10"/>
      <c r="J11" s="10"/>
      <c r="K11" s="10"/>
      <c r="L11" s="10"/>
    </row>
    <row r="12">
      <c r="A12" s="2" t="s">
        <v>26</v>
      </c>
      <c r="B12" s="10">
        <v>66.0</v>
      </c>
      <c r="C12" s="10">
        <v>0.0</v>
      </c>
      <c r="D12" s="10">
        <v>19.0</v>
      </c>
      <c r="E12" s="10">
        <v>66.0</v>
      </c>
      <c r="F12" s="10">
        <v>0.0</v>
      </c>
      <c r="G12" s="10"/>
      <c r="H12" s="10"/>
      <c r="I12" s="10"/>
      <c r="J12" s="10"/>
      <c r="K12" s="10"/>
      <c r="L12" s="10"/>
    </row>
    <row r="13">
      <c r="A13" s="2" t="s">
        <v>27</v>
      </c>
      <c r="B13" s="10">
        <v>57.0</v>
      </c>
      <c r="C13" s="10">
        <v>0.0</v>
      </c>
      <c r="D13" s="10">
        <v>10.0</v>
      </c>
      <c r="E13" s="10">
        <v>57.0</v>
      </c>
      <c r="F13" s="10">
        <v>0.0</v>
      </c>
      <c r="G13" s="10"/>
      <c r="H13" s="10"/>
      <c r="I13" s="10"/>
      <c r="J13" s="10"/>
      <c r="K13" s="10"/>
      <c r="L13" s="10"/>
    </row>
    <row r="14">
      <c r="A14" s="2" t="s">
        <v>28</v>
      </c>
      <c r="B14" s="10">
        <v>142.0</v>
      </c>
      <c r="C14" s="10">
        <v>0.0</v>
      </c>
      <c r="D14" s="10">
        <v>68.0</v>
      </c>
      <c r="E14" s="10">
        <v>142.0</v>
      </c>
      <c r="F14" s="10">
        <v>0.0</v>
      </c>
      <c r="G14" s="10"/>
      <c r="H14" s="10"/>
      <c r="I14" s="10"/>
      <c r="J14" s="10"/>
      <c r="K14" s="10"/>
      <c r="L14" s="10"/>
    </row>
    <row r="15">
      <c r="A15" s="2" t="s">
        <v>29</v>
      </c>
      <c r="B15" s="10">
        <v>69.0</v>
      </c>
      <c r="C15" s="10">
        <v>1.0</v>
      </c>
      <c r="D15" s="10">
        <v>26.0</v>
      </c>
      <c r="E15" s="10">
        <v>68.0</v>
      </c>
      <c r="F15" s="10">
        <v>0.0</v>
      </c>
      <c r="G15" s="10"/>
      <c r="H15" s="10"/>
      <c r="I15" s="10"/>
      <c r="J15" s="10"/>
      <c r="K15" s="10"/>
      <c r="L15" s="10"/>
    </row>
    <row r="16">
      <c r="A16" s="2" t="s">
        <v>31</v>
      </c>
      <c r="B16" s="10">
        <v>471.0</v>
      </c>
      <c r="C16" s="10">
        <v>2.0</v>
      </c>
      <c r="D16" s="10">
        <v>150.0</v>
      </c>
      <c r="E16" s="10">
        <v>468.0</v>
      </c>
      <c r="F16" s="10">
        <v>0.0</v>
      </c>
      <c r="G16" s="10"/>
      <c r="H16" s="10"/>
      <c r="I16" s="10"/>
      <c r="J16" s="10"/>
      <c r="K16" s="10"/>
      <c r="L16" s="10"/>
    </row>
    <row r="17">
      <c r="A17" s="2" t="s">
        <v>32</v>
      </c>
      <c r="B17" s="10">
        <v>94.0</v>
      </c>
      <c r="C17" s="10">
        <v>3.0</v>
      </c>
      <c r="D17" s="10">
        <v>26.0</v>
      </c>
      <c r="E17" s="10">
        <v>91.0</v>
      </c>
      <c r="F17" s="10">
        <v>0.0</v>
      </c>
      <c r="G17" s="10"/>
      <c r="H17" s="10"/>
      <c r="I17" s="10"/>
      <c r="J17" s="10"/>
      <c r="K17" s="10"/>
      <c r="L17" s="10"/>
    </row>
    <row r="18">
      <c r="A18" s="2" t="s">
        <v>33</v>
      </c>
      <c r="B18" s="10">
        <v>86.0</v>
      </c>
      <c r="C18" s="10">
        <v>0.0</v>
      </c>
      <c r="D18" s="10">
        <v>26.0</v>
      </c>
      <c r="E18" s="10">
        <v>86.0</v>
      </c>
      <c r="F18" s="10">
        <v>0.0</v>
      </c>
      <c r="G18" s="10"/>
      <c r="H18" s="10"/>
      <c r="I18" s="10"/>
      <c r="J18" s="10"/>
      <c r="K18" s="10"/>
      <c r="L18" s="10"/>
    </row>
    <row r="19">
      <c r="A19" s="2" t="s">
        <v>34</v>
      </c>
      <c r="B19" s="10">
        <v>72.0</v>
      </c>
      <c r="C19" s="10">
        <v>1.0</v>
      </c>
      <c r="D19" s="10">
        <v>20.0</v>
      </c>
      <c r="E19" s="10">
        <v>71.0</v>
      </c>
      <c r="F19" s="10">
        <v>0.0</v>
      </c>
      <c r="G19" s="10"/>
      <c r="H19" s="10"/>
      <c r="I19" s="10"/>
      <c r="J19" s="10"/>
      <c r="K19" s="10"/>
      <c r="L19" s="10"/>
    </row>
    <row r="20">
      <c r="A20" s="2" t="s">
        <v>36</v>
      </c>
      <c r="B20" s="10">
        <v>76.0</v>
      </c>
      <c r="C20" s="10">
        <v>0.0</v>
      </c>
      <c r="D20" s="10">
        <v>18.0</v>
      </c>
      <c r="E20" s="10">
        <v>76.0</v>
      </c>
      <c r="F20" s="10">
        <v>0.0</v>
      </c>
      <c r="G20" s="10"/>
      <c r="H20" s="10"/>
      <c r="I20" s="10"/>
      <c r="J20" s="10"/>
      <c r="K20" s="10"/>
      <c r="L20" s="10"/>
    </row>
    <row r="21">
      <c r="A21" s="2" t="s">
        <v>37</v>
      </c>
      <c r="B21" s="10">
        <v>328.0</v>
      </c>
      <c r="C21" s="10">
        <v>4.0</v>
      </c>
      <c r="D21" s="10">
        <v>90.0</v>
      </c>
      <c r="E21" s="10">
        <v>324.0</v>
      </c>
      <c r="F21" s="10">
        <v>0.0</v>
      </c>
      <c r="G21" s="10"/>
      <c r="H21" s="10"/>
      <c r="I21" s="10"/>
      <c r="J21" s="10"/>
      <c r="K21" s="10"/>
      <c r="L21" s="10"/>
    </row>
    <row r="22">
      <c r="A22" s="2" t="s">
        <v>40</v>
      </c>
      <c r="B22" s="10">
        <v>158.0</v>
      </c>
      <c r="C22" s="10">
        <v>0.0</v>
      </c>
      <c r="D22" s="10">
        <v>45.0</v>
      </c>
      <c r="E22" s="10">
        <v>158.0</v>
      </c>
      <c r="F22" s="10">
        <v>0.0</v>
      </c>
      <c r="G22" s="10"/>
      <c r="H22" s="10"/>
      <c r="I22" s="10"/>
      <c r="J22" s="10"/>
      <c r="K22" s="10"/>
      <c r="L22" s="10"/>
    </row>
    <row r="23">
      <c r="A23" s="2" t="s">
        <v>44</v>
      </c>
      <c r="B23" s="10">
        <v>162.0</v>
      </c>
      <c r="C23" s="10">
        <v>0.0</v>
      </c>
      <c r="D23" s="10">
        <v>56.0</v>
      </c>
      <c r="E23" s="10">
        <v>162.0</v>
      </c>
      <c r="F23" s="10">
        <v>0.0</v>
      </c>
      <c r="G23" s="10"/>
      <c r="H23" s="10"/>
      <c r="I23" s="10"/>
      <c r="J23" s="10"/>
      <c r="K23" s="10"/>
      <c r="L23" s="10"/>
    </row>
    <row r="24">
      <c r="A24" s="2" t="s">
        <v>48</v>
      </c>
      <c r="B24" s="10">
        <v>109.0</v>
      </c>
      <c r="C24" s="10">
        <v>1.0</v>
      </c>
      <c r="D24" s="10">
        <v>37.0</v>
      </c>
      <c r="E24" s="10">
        <v>108.0</v>
      </c>
      <c r="F24" s="10">
        <v>0.0</v>
      </c>
      <c r="G24" s="10"/>
      <c r="H24" s="10"/>
      <c r="I24" s="10"/>
      <c r="J24" s="10"/>
      <c r="K24" s="10"/>
      <c r="L24" s="10"/>
    </row>
    <row r="25">
      <c r="A25" s="2" t="s">
        <v>52</v>
      </c>
      <c r="B25" s="10">
        <v>429.0</v>
      </c>
      <c r="C25" s="10">
        <v>1.0</v>
      </c>
      <c r="D25" s="10">
        <v>138.0</v>
      </c>
      <c r="E25" s="10">
        <v>428.0</v>
      </c>
      <c r="F25" s="10">
        <v>0.0</v>
      </c>
      <c r="G25" s="10"/>
      <c r="H25" s="10"/>
      <c r="I25" s="10"/>
      <c r="J25" s="10"/>
      <c r="K25" s="10"/>
      <c r="L25" s="10"/>
    </row>
    <row r="26">
      <c r="A26" s="2" t="s">
        <v>54</v>
      </c>
      <c r="B26" s="10">
        <v>99.0</v>
      </c>
      <c r="C26" s="10">
        <v>0.0</v>
      </c>
      <c r="D26" s="10">
        <v>14.0</v>
      </c>
      <c r="E26" s="10">
        <v>99.0</v>
      </c>
      <c r="F26" s="10">
        <v>0.0</v>
      </c>
      <c r="G26" s="10"/>
      <c r="H26" s="10"/>
      <c r="I26" s="10"/>
      <c r="J26" s="10"/>
      <c r="K26" s="10"/>
      <c r="L26" s="10"/>
    </row>
    <row r="27">
      <c r="A27" s="2" t="s">
        <v>58</v>
      </c>
      <c r="B27" s="10">
        <v>56.0</v>
      </c>
      <c r="C27" s="10">
        <v>1.0</v>
      </c>
      <c r="D27" s="10">
        <v>14.0</v>
      </c>
      <c r="E27" s="10">
        <v>56.0</v>
      </c>
      <c r="F27" s="10">
        <v>1.0</v>
      </c>
      <c r="G27" s="10"/>
      <c r="H27" s="10"/>
      <c r="I27" s="10"/>
      <c r="J27" s="10"/>
      <c r="K27" s="10"/>
      <c r="L27" s="10"/>
    </row>
    <row r="28">
      <c r="A28" s="2" t="s">
        <v>60</v>
      </c>
      <c r="B28" s="10">
        <v>155.0</v>
      </c>
      <c r="C28" s="10">
        <v>1.0</v>
      </c>
      <c r="D28" s="10">
        <v>28.0</v>
      </c>
      <c r="E28" s="10">
        <v>155.0</v>
      </c>
      <c r="F28" s="10">
        <v>1.0</v>
      </c>
      <c r="G28" s="10"/>
      <c r="H28" s="10"/>
      <c r="I28" s="10"/>
      <c r="J28" s="10"/>
      <c r="K28" s="10"/>
      <c r="L28" s="10"/>
    </row>
    <row r="29">
      <c r="A29" s="2" t="s">
        <v>61</v>
      </c>
      <c r="B29" s="10">
        <v>71.0</v>
      </c>
      <c r="C29" s="10">
        <v>0.0</v>
      </c>
      <c r="D29" s="10">
        <v>12.0</v>
      </c>
      <c r="E29" s="10">
        <v>71.0</v>
      </c>
      <c r="F29" s="10">
        <v>0.0</v>
      </c>
      <c r="G29" s="10"/>
      <c r="H29" s="10"/>
      <c r="I29" s="10"/>
      <c r="J29" s="10"/>
      <c r="K29" s="10"/>
      <c r="L29" s="10"/>
    </row>
    <row r="30">
      <c r="A30" s="2" t="s">
        <v>62</v>
      </c>
      <c r="B30" s="10">
        <v>37.0</v>
      </c>
      <c r="C30" s="10">
        <v>0.0</v>
      </c>
      <c r="D30" s="10">
        <v>1.0</v>
      </c>
      <c r="E30" s="10">
        <v>37.0</v>
      </c>
      <c r="F30" s="10">
        <v>0.0</v>
      </c>
      <c r="G30" s="10"/>
      <c r="H30" s="10"/>
      <c r="I30" s="10"/>
      <c r="J30" s="10"/>
      <c r="K30" s="10"/>
      <c r="L30" s="10"/>
    </row>
    <row r="31">
      <c r="A31" s="2" t="s">
        <v>63</v>
      </c>
      <c r="B31" s="10">
        <v>56.0</v>
      </c>
      <c r="C31" s="10">
        <v>0.0</v>
      </c>
      <c r="D31" s="10">
        <v>7.0</v>
      </c>
      <c r="E31" s="10">
        <v>55.0</v>
      </c>
      <c r="F31" s="10">
        <v>0.0</v>
      </c>
      <c r="G31" s="10"/>
      <c r="H31" s="10"/>
      <c r="I31" s="10"/>
      <c r="J31" s="10"/>
      <c r="K31" s="10"/>
      <c r="L31" s="10"/>
    </row>
    <row r="32">
      <c r="A32" s="2" t="s">
        <v>64</v>
      </c>
      <c r="B32" s="10">
        <v>53.0</v>
      </c>
      <c r="C32" s="10">
        <v>1.0</v>
      </c>
      <c r="D32" s="10">
        <v>9.0</v>
      </c>
      <c r="E32" s="10">
        <v>52.0</v>
      </c>
      <c r="F32" s="10">
        <v>0.0</v>
      </c>
      <c r="G32" s="10"/>
      <c r="H32" s="10"/>
      <c r="I32" s="10"/>
      <c r="J32" s="10"/>
      <c r="K32" s="10"/>
      <c r="L32" s="10"/>
    </row>
    <row r="33">
      <c r="A33" s="2" t="s">
        <v>65</v>
      </c>
      <c r="B33" s="10">
        <v>31.0</v>
      </c>
      <c r="C33" s="10">
        <v>0.0</v>
      </c>
      <c r="D33" s="10">
        <v>5.0</v>
      </c>
      <c r="E33" s="10">
        <v>31.0</v>
      </c>
      <c r="F33" s="10">
        <v>0.0</v>
      </c>
      <c r="G33" s="10"/>
      <c r="H33" s="10"/>
      <c r="I33" s="10"/>
      <c r="J33" s="10"/>
      <c r="K33" s="10"/>
      <c r="L33" s="10"/>
    </row>
    <row r="34">
      <c r="A34" s="2" t="s">
        <v>66</v>
      </c>
      <c r="B34" s="10">
        <v>12.0</v>
      </c>
      <c r="C34" s="10">
        <v>0.0</v>
      </c>
      <c r="D34" s="10">
        <v>3.0</v>
      </c>
      <c r="E34" s="10">
        <v>12.0</v>
      </c>
      <c r="F34" s="10">
        <v>0.0</v>
      </c>
      <c r="G34" s="10"/>
      <c r="H34" s="10"/>
      <c r="I34" s="10"/>
      <c r="J34" s="10"/>
      <c r="K34" s="10"/>
      <c r="L34" s="10"/>
    </row>
    <row r="35">
      <c r="A35" s="2" t="s">
        <v>67</v>
      </c>
      <c r="B35" s="10">
        <v>10.0</v>
      </c>
      <c r="C35" s="10">
        <v>1.0</v>
      </c>
      <c r="D35" s="10">
        <v>1.0</v>
      </c>
      <c r="E35" s="10">
        <v>9.0</v>
      </c>
      <c r="F35" s="10">
        <v>0.0</v>
      </c>
      <c r="G35" s="10"/>
      <c r="H35" s="10"/>
      <c r="I35" s="10"/>
      <c r="J35" s="10"/>
      <c r="K35" s="10"/>
      <c r="L35" s="10"/>
    </row>
    <row r="36">
      <c r="A36" s="2" t="s">
        <v>68</v>
      </c>
      <c r="B36" s="10">
        <v>39.0</v>
      </c>
      <c r="C36" s="10">
        <v>0.0</v>
      </c>
      <c r="D36" s="10">
        <v>7.0</v>
      </c>
      <c r="E36" s="10">
        <v>39.0</v>
      </c>
      <c r="F36" s="10">
        <v>0.0</v>
      </c>
      <c r="G36" s="10"/>
      <c r="H36" s="10"/>
      <c r="I36" s="10"/>
      <c r="J36" s="10"/>
      <c r="K36" s="10"/>
      <c r="L36" s="10"/>
    </row>
    <row r="37">
      <c r="A37" s="2" t="s">
        <v>69</v>
      </c>
      <c r="B37" s="10">
        <v>28.0</v>
      </c>
      <c r="C37" s="10">
        <v>0.0</v>
      </c>
      <c r="D37" s="10">
        <v>8.0</v>
      </c>
      <c r="E37" s="10">
        <v>28.0</v>
      </c>
      <c r="F37" s="10">
        <v>0.0</v>
      </c>
      <c r="G37" s="10"/>
      <c r="H37" s="10"/>
      <c r="I37" s="10"/>
      <c r="J37" s="10"/>
      <c r="K37" s="10"/>
      <c r="L37" s="10"/>
    </row>
    <row r="38">
      <c r="A38" s="2" t="s">
        <v>70</v>
      </c>
      <c r="B38" s="10">
        <v>37.0</v>
      </c>
      <c r="C38" s="10">
        <v>0.0</v>
      </c>
      <c r="D38" s="10">
        <v>6.0</v>
      </c>
      <c r="E38" s="10">
        <v>37.0</v>
      </c>
      <c r="F38" s="10">
        <v>0.0</v>
      </c>
      <c r="G38" s="10"/>
      <c r="H38" s="10"/>
      <c r="I38" s="10"/>
      <c r="J38" s="10"/>
      <c r="K38" s="10"/>
      <c r="L38" s="10"/>
    </row>
    <row r="39">
      <c r="A39" s="2" t="s">
        <v>71</v>
      </c>
      <c r="B39" s="10">
        <v>57.0</v>
      </c>
      <c r="C39" s="10">
        <v>0.0</v>
      </c>
      <c r="D39" s="10">
        <v>15.0</v>
      </c>
      <c r="E39" s="10">
        <v>57.0</v>
      </c>
      <c r="F39" s="10">
        <v>0.0</v>
      </c>
      <c r="G39" s="10"/>
      <c r="H39" s="10"/>
      <c r="I39" s="10"/>
      <c r="J39" s="10"/>
      <c r="K39" s="10"/>
      <c r="L39" s="10"/>
    </row>
    <row r="40">
      <c r="A40" s="2" t="s">
        <v>72</v>
      </c>
      <c r="B40" s="10">
        <v>142.0</v>
      </c>
      <c r="C40" s="10">
        <v>0.0</v>
      </c>
      <c r="D40" s="10">
        <v>26.0</v>
      </c>
      <c r="E40" s="10">
        <v>142.0</v>
      </c>
      <c r="F40" s="10">
        <v>0.0</v>
      </c>
      <c r="G40" s="10"/>
      <c r="H40" s="10"/>
      <c r="I40" s="10"/>
      <c r="J40" s="10"/>
      <c r="K40" s="10"/>
      <c r="L40" s="10"/>
    </row>
    <row r="41">
      <c r="A41" s="2" t="s">
        <v>73</v>
      </c>
      <c r="B41" s="10">
        <v>28.0</v>
      </c>
      <c r="C41" s="10">
        <v>0.0</v>
      </c>
      <c r="D41" s="10">
        <v>1.0</v>
      </c>
      <c r="E41" s="10">
        <v>28.0</v>
      </c>
      <c r="F41" s="10">
        <v>0.0</v>
      </c>
      <c r="G41" s="10"/>
      <c r="H41" s="10"/>
      <c r="I41" s="10"/>
      <c r="J41" s="10"/>
      <c r="K41" s="10"/>
      <c r="L41" s="10"/>
    </row>
    <row r="42">
      <c r="A42" s="2" t="s">
        <v>74</v>
      </c>
      <c r="B42" s="10">
        <v>8.0</v>
      </c>
      <c r="C42" s="10">
        <v>0.0</v>
      </c>
      <c r="D42" s="10">
        <v>0.0</v>
      </c>
      <c r="E42" s="10">
        <v>8.0</v>
      </c>
      <c r="F42" s="10">
        <v>0.0</v>
      </c>
      <c r="G42" s="10"/>
      <c r="H42" s="10"/>
      <c r="I42" s="10"/>
      <c r="J42" s="10"/>
      <c r="K42" s="10"/>
      <c r="L42" s="10"/>
    </row>
    <row r="43">
      <c r="A43" s="2" t="s">
        <v>75</v>
      </c>
      <c r="B43" s="10">
        <v>11.0</v>
      </c>
      <c r="C43" s="10">
        <v>0.0</v>
      </c>
      <c r="D43" s="10">
        <v>1.0</v>
      </c>
      <c r="E43" s="10">
        <v>11.0</v>
      </c>
      <c r="F43" s="10">
        <v>0.0</v>
      </c>
      <c r="G43" s="10"/>
      <c r="H43" s="10"/>
      <c r="I43" s="10"/>
      <c r="J43" s="10"/>
      <c r="K43" s="10"/>
      <c r="L43" s="10"/>
    </row>
    <row r="44">
      <c r="A44" s="2" t="s">
        <v>76</v>
      </c>
      <c r="B44" s="10">
        <v>9.0</v>
      </c>
      <c r="C44" s="10">
        <v>0.0</v>
      </c>
      <c r="D44" s="10">
        <v>0.0</v>
      </c>
      <c r="E44" s="10">
        <v>9.0</v>
      </c>
      <c r="F44" s="10">
        <v>0.0</v>
      </c>
      <c r="G44" s="10"/>
      <c r="H44" s="10"/>
      <c r="I44" s="10"/>
      <c r="J44" s="10"/>
      <c r="K44" s="10"/>
      <c r="L44" s="10"/>
    </row>
    <row r="45">
      <c r="A45" s="2" t="s">
        <v>77</v>
      </c>
      <c r="B45" s="10">
        <v>194.0</v>
      </c>
      <c r="C45" s="10">
        <v>0.0</v>
      </c>
      <c r="D45" s="10">
        <v>42.0</v>
      </c>
      <c r="E45" s="10">
        <v>194.0</v>
      </c>
      <c r="F45" s="10">
        <v>0.0</v>
      </c>
      <c r="G45" s="10"/>
      <c r="H45" s="10"/>
      <c r="I45" s="10"/>
      <c r="J45" s="10"/>
      <c r="K45" s="10"/>
      <c r="L45" s="10"/>
    </row>
    <row r="46">
      <c r="A46" s="2" t="s">
        <v>78</v>
      </c>
      <c r="B46" s="10">
        <v>58.0</v>
      </c>
      <c r="C46" s="10">
        <v>0.0</v>
      </c>
      <c r="D46" s="10">
        <v>8.0</v>
      </c>
      <c r="E46" s="10">
        <v>58.0</v>
      </c>
      <c r="F46" s="10">
        <v>0.0</v>
      </c>
      <c r="G46" s="10"/>
      <c r="H46" s="10"/>
      <c r="I46" s="10"/>
      <c r="J46" s="10"/>
      <c r="K46" s="10"/>
      <c r="L46" s="10"/>
    </row>
    <row r="47">
      <c r="A47" s="2" t="s">
        <v>79</v>
      </c>
      <c r="B47" s="10">
        <v>57.0</v>
      </c>
      <c r="C47" s="10">
        <v>0.0</v>
      </c>
      <c r="D47" s="10">
        <v>9.0</v>
      </c>
      <c r="E47" s="10">
        <v>57.0</v>
      </c>
      <c r="F47" s="10">
        <v>0.0</v>
      </c>
      <c r="G47" s="10"/>
      <c r="H47" s="10"/>
      <c r="I47" s="10"/>
      <c r="J47" s="10"/>
      <c r="K47" s="10"/>
      <c r="L47" s="10"/>
    </row>
    <row r="48">
      <c r="A48" s="2" t="s">
        <v>80</v>
      </c>
      <c r="B48" s="10">
        <v>42.0</v>
      </c>
      <c r="C48" s="10">
        <v>0.0</v>
      </c>
      <c r="D48" s="10">
        <v>6.0</v>
      </c>
      <c r="E48" s="10">
        <v>42.0</v>
      </c>
      <c r="F48" s="10">
        <v>0.0</v>
      </c>
      <c r="G48" s="10"/>
      <c r="H48" s="10"/>
      <c r="I48" s="10"/>
      <c r="J48" s="10"/>
      <c r="K48" s="10"/>
      <c r="L48" s="10"/>
    </row>
    <row r="49">
      <c r="A49" s="2" t="s">
        <v>81</v>
      </c>
      <c r="B49" s="10">
        <v>12.0</v>
      </c>
      <c r="C49" s="10">
        <v>0.0</v>
      </c>
      <c r="D49" s="10">
        <v>2.0</v>
      </c>
      <c r="E49" s="10">
        <v>12.0</v>
      </c>
      <c r="F49" s="10">
        <v>0.0</v>
      </c>
      <c r="G49" s="10"/>
      <c r="H49" s="10"/>
      <c r="I49" s="10"/>
      <c r="J49" s="10"/>
      <c r="K49" s="10"/>
      <c r="L49" s="10"/>
    </row>
    <row r="50">
      <c r="A50" s="2" t="s">
        <v>82</v>
      </c>
      <c r="B50" s="10">
        <v>3.0</v>
      </c>
      <c r="C50" s="10">
        <v>0.0</v>
      </c>
      <c r="D50" s="10">
        <v>1.0</v>
      </c>
      <c r="E50" s="10">
        <v>3.0</v>
      </c>
      <c r="F50" s="10">
        <v>0.0</v>
      </c>
      <c r="G50" s="10"/>
      <c r="H50" s="10"/>
      <c r="I50" s="10"/>
      <c r="J50" s="10"/>
      <c r="K50" s="10"/>
      <c r="L50" s="10"/>
    </row>
    <row r="51">
      <c r="A51" s="2" t="s">
        <v>83</v>
      </c>
      <c r="B51" s="10">
        <v>72.0</v>
      </c>
      <c r="C51" s="10">
        <v>0.0</v>
      </c>
      <c r="D51" s="10">
        <v>12.0</v>
      </c>
      <c r="E51" s="10">
        <v>72.0</v>
      </c>
      <c r="F51" s="10">
        <v>0.0</v>
      </c>
      <c r="G51" s="10"/>
      <c r="H51" s="10"/>
      <c r="I51" s="10"/>
      <c r="J51" s="10"/>
      <c r="K51" s="10"/>
      <c r="L51" s="10"/>
    </row>
    <row r="52">
      <c r="A52" s="2" t="s">
        <v>84</v>
      </c>
      <c r="B52" s="10">
        <v>929.0</v>
      </c>
      <c r="C52" s="10">
        <v>1.0</v>
      </c>
      <c r="D52" s="10">
        <v>163.0</v>
      </c>
      <c r="E52" s="10">
        <v>927.0</v>
      </c>
      <c r="F52" s="10">
        <v>0.0</v>
      </c>
      <c r="G52" s="10"/>
      <c r="H52" s="10"/>
      <c r="I52" s="10"/>
      <c r="J52" s="10"/>
      <c r="K52" s="10"/>
      <c r="L52" s="10"/>
    </row>
    <row r="53">
      <c r="A53" s="2" t="s">
        <v>85</v>
      </c>
      <c r="B53" s="10">
        <v>25.0</v>
      </c>
      <c r="C53" s="10">
        <v>0.0</v>
      </c>
      <c r="D53" s="10">
        <v>6.0</v>
      </c>
      <c r="E53" s="10">
        <v>25.0</v>
      </c>
      <c r="F53" s="10">
        <v>0.0</v>
      </c>
      <c r="G53" s="10"/>
      <c r="H53" s="10"/>
      <c r="I53" s="10"/>
      <c r="J53" s="10"/>
      <c r="K53" s="10"/>
      <c r="L53" s="10"/>
    </row>
    <row r="54">
      <c r="A54" s="2" t="s">
        <v>86</v>
      </c>
      <c r="B54" s="10">
        <v>114.0</v>
      </c>
      <c r="C54" s="10">
        <v>3.0</v>
      </c>
      <c r="D54" s="10">
        <v>81.0</v>
      </c>
      <c r="E54" s="10">
        <v>111.0</v>
      </c>
      <c r="F54" s="10">
        <v>0.0</v>
      </c>
      <c r="G54" s="10"/>
      <c r="H54" s="10"/>
      <c r="I54" s="10"/>
      <c r="J54" s="10"/>
      <c r="K54" s="10"/>
      <c r="L54" s="10"/>
    </row>
    <row r="55">
      <c r="A55" s="2" t="s">
        <v>87</v>
      </c>
      <c r="B55" s="10">
        <v>68.0</v>
      </c>
      <c r="C55" s="10">
        <v>1.0</v>
      </c>
      <c r="D55" s="10">
        <v>56.0</v>
      </c>
      <c r="E55" s="10">
        <v>67.0</v>
      </c>
      <c r="F55" s="10">
        <v>0.0</v>
      </c>
      <c r="G55" s="10"/>
      <c r="H55" s="10"/>
      <c r="I55" s="10"/>
      <c r="J55" s="10"/>
      <c r="K55" s="10"/>
      <c r="L55" s="10"/>
    </row>
    <row r="56">
      <c r="A56" s="2" t="s">
        <v>88</v>
      </c>
      <c r="B56" s="10">
        <v>17.0</v>
      </c>
      <c r="C56" s="10">
        <v>1.0</v>
      </c>
      <c r="D56" s="10">
        <v>11.0</v>
      </c>
      <c r="E56" s="10">
        <v>16.0</v>
      </c>
      <c r="F56" s="10">
        <v>0.0</v>
      </c>
      <c r="G56" s="10"/>
      <c r="H56" s="10"/>
      <c r="I56" s="10"/>
      <c r="J56" s="10"/>
      <c r="K56" s="10"/>
      <c r="L56" s="10"/>
    </row>
    <row r="57">
      <c r="A57" s="2" t="s">
        <v>89</v>
      </c>
      <c r="B57" s="10">
        <v>29.0</v>
      </c>
      <c r="C57" s="10">
        <v>1.0</v>
      </c>
      <c r="D57" s="10">
        <v>14.0</v>
      </c>
      <c r="E57" s="10">
        <v>28.0</v>
      </c>
      <c r="F57" s="10">
        <v>0.0</v>
      </c>
      <c r="G57" s="10"/>
      <c r="H57" s="10"/>
      <c r="I57" s="10"/>
      <c r="J57" s="10"/>
      <c r="K57" s="10"/>
      <c r="L57" s="10"/>
    </row>
    <row r="58">
      <c r="A58" s="2" t="s">
        <v>90</v>
      </c>
      <c r="B58" s="10">
        <v>69.0</v>
      </c>
      <c r="C58" s="10">
        <v>0.0</v>
      </c>
      <c r="D58" s="10">
        <v>59.0</v>
      </c>
      <c r="E58" s="10">
        <v>69.0</v>
      </c>
      <c r="F58" s="10">
        <v>0.0</v>
      </c>
      <c r="G58" s="10"/>
      <c r="H58" s="10"/>
      <c r="I58" s="10"/>
      <c r="J58" s="10"/>
      <c r="K58" s="10"/>
      <c r="L58" s="10"/>
    </row>
    <row r="59">
      <c r="A59" s="2" t="s">
        <v>91</v>
      </c>
      <c r="B59" s="10">
        <v>70.0</v>
      </c>
      <c r="C59" s="10">
        <v>1.0</v>
      </c>
      <c r="D59" s="10">
        <v>13.0</v>
      </c>
      <c r="E59" s="10">
        <v>69.0</v>
      </c>
      <c r="F59" s="10">
        <v>0.0</v>
      </c>
      <c r="G59" s="10"/>
      <c r="H59" s="10"/>
      <c r="I59" s="10"/>
      <c r="J59" s="10"/>
      <c r="K59" s="10"/>
      <c r="L59" s="10"/>
    </row>
    <row r="60">
      <c r="A60" s="2" t="s">
        <v>92</v>
      </c>
      <c r="B60" s="10">
        <v>70.0</v>
      </c>
      <c r="C60" s="10">
        <v>0.0</v>
      </c>
      <c r="D60" s="10">
        <v>22.0</v>
      </c>
      <c r="E60" s="10">
        <v>70.0</v>
      </c>
      <c r="F60" s="10">
        <v>0.0</v>
      </c>
      <c r="G60" s="10"/>
      <c r="H60" s="10"/>
      <c r="I60" s="10"/>
      <c r="J60" s="10"/>
      <c r="K60" s="10"/>
      <c r="L60" s="10"/>
    </row>
    <row r="61">
      <c r="A61" s="2" t="s">
        <v>93</v>
      </c>
      <c r="B61" s="10">
        <v>108.0</v>
      </c>
      <c r="C61" s="10">
        <v>0.0</v>
      </c>
      <c r="D61" s="10">
        <v>17.0</v>
      </c>
      <c r="E61" s="10">
        <v>108.0</v>
      </c>
      <c r="F61" s="10">
        <v>0.0</v>
      </c>
      <c r="G61" s="10"/>
      <c r="H61" s="10"/>
      <c r="I61" s="10"/>
      <c r="J61" s="10"/>
      <c r="K61" s="10"/>
      <c r="L61" s="10"/>
    </row>
    <row r="62">
      <c r="A62" s="2" t="s">
        <v>94</v>
      </c>
      <c r="B62" s="10">
        <v>51.0</v>
      </c>
      <c r="C62" s="10">
        <v>0.0</v>
      </c>
      <c r="D62" s="10">
        <v>47.0</v>
      </c>
      <c r="E62" s="10">
        <v>50.0</v>
      </c>
      <c r="F62" s="10">
        <v>0.0</v>
      </c>
      <c r="G62" s="10"/>
      <c r="H62" s="10"/>
      <c r="I62" s="10"/>
      <c r="J62" s="10"/>
      <c r="K62" s="10"/>
      <c r="L62" s="10"/>
    </row>
    <row r="63">
      <c r="A63" s="2" t="s">
        <v>95</v>
      </c>
      <c r="B63" s="10">
        <v>30.0</v>
      </c>
      <c r="C63" s="10">
        <v>0.0</v>
      </c>
      <c r="D63" s="10">
        <v>27.0</v>
      </c>
      <c r="E63" s="10">
        <v>29.0</v>
      </c>
      <c r="F63" s="10">
        <v>0.0</v>
      </c>
      <c r="G63" s="10"/>
      <c r="H63" s="10"/>
      <c r="I63" s="10"/>
      <c r="J63" s="10"/>
      <c r="K63" s="10"/>
      <c r="L63" s="10"/>
    </row>
    <row r="64">
      <c r="A64" s="2" t="s">
        <v>96</v>
      </c>
      <c r="B64" s="10">
        <v>10.0</v>
      </c>
      <c r="C64" s="10">
        <v>0.0</v>
      </c>
      <c r="D64" s="10">
        <v>9.0</v>
      </c>
      <c r="E64" s="10">
        <v>10.0</v>
      </c>
      <c r="F64" s="10">
        <v>0.0</v>
      </c>
      <c r="G64" s="10"/>
      <c r="H64" s="10"/>
      <c r="I64" s="10"/>
      <c r="J64" s="10"/>
      <c r="K64" s="10"/>
      <c r="L64" s="10"/>
    </row>
    <row r="65">
      <c r="A65" s="2" t="s">
        <v>97</v>
      </c>
      <c r="B65" s="10">
        <v>11.0</v>
      </c>
      <c r="C65" s="10">
        <v>0.0</v>
      </c>
      <c r="D65" s="10">
        <v>11.0</v>
      </c>
      <c r="E65" s="10">
        <v>11.0</v>
      </c>
      <c r="F65" s="10">
        <v>0.0</v>
      </c>
      <c r="G65" s="10"/>
      <c r="H65" s="10"/>
      <c r="I65" s="10"/>
      <c r="J65" s="10"/>
      <c r="K65" s="10"/>
      <c r="L65" s="10"/>
    </row>
    <row r="66">
      <c r="A66" s="2" t="s">
        <v>98</v>
      </c>
      <c r="B66" s="10">
        <v>77.0</v>
      </c>
      <c r="C66" s="10">
        <v>0.0</v>
      </c>
      <c r="D66" s="10">
        <v>33.0</v>
      </c>
      <c r="E66" s="10">
        <v>76.0</v>
      </c>
      <c r="F66" s="10">
        <v>0.0</v>
      </c>
      <c r="G66" s="10"/>
      <c r="H66" s="10"/>
      <c r="I66" s="10"/>
      <c r="J66" s="10"/>
      <c r="K66" s="10"/>
      <c r="L66" s="10"/>
    </row>
    <row r="67">
      <c r="A67" s="2" t="s">
        <v>99</v>
      </c>
      <c r="B67" s="10">
        <v>79.0</v>
      </c>
      <c r="C67" s="10">
        <v>1.0</v>
      </c>
      <c r="D67" s="10">
        <v>14.0</v>
      </c>
      <c r="E67" s="10">
        <v>78.0</v>
      </c>
      <c r="F67" s="10">
        <v>0.0</v>
      </c>
      <c r="G67" s="10"/>
      <c r="H67" s="10"/>
      <c r="I67" s="10"/>
      <c r="J67" s="10"/>
      <c r="K67" s="10"/>
      <c r="L67" s="10"/>
    </row>
    <row r="68">
      <c r="A68" s="2" t="s">
        <v>100</v>
      </c>
      <c r="B68" s="10">
        <v>663.0</v>
      </c>
      <c r="C68" s="10">
        <v>5.0</v>
      </c>
      <c r="D68" s="10">
        <v>292.0</v>
      </c>
      <c r="E68" s="10">
        <v>656.0</v>
      </c>
      <c r="F68" s="10">
        <v>0.0</v>
      </c>
      <c r="G68" s="10"/>
      <c r="H68" s="10"/>
      <c r="I68" s="10"/>
      <c r="J68" s="10"/>
      <c r="K68" s="10"/>
      <c r="L68" s="10"/>
    </row>
    <row r="69">
      <c r="A69" s="2" t="s">
        <v>101</v>
      </c>
      <c r="B69" s="10">
        <v>28.0</v>
      </c>
      <c r="C69" s="10">
        <v>1.0</v>
      </c>
      <c r="D69" s="10">
        <v>8.0</v>
      </c>
      <c r="E69" s="10">
        <v>27.0</v>
      </c>
      <c r="F69" s="10">
        <v>0.0</v>
      </c>
      <c r="G69" s="10"/>
      <c r="H69" s="10"/>
      <c r="I69" s="10"/>
      <c r="J69" s="10"/>
      <c r="K69" s="10"/>
      <c r="L69" s="10"/>
    </row>
    <row r="70">
      <c r="A70" s="2" t="s">
        <v>102</v>
      </c>
      <c r="B70" s="10">
        <v>120.0</v>
      </c>
      <c r="C70" s="10">
        <v>1.0</v>
      </c>
      <c r="D70" s="10">
        <v>25.0</v>
      </c>
      <c r="E70" s="10">
        <v>119.0</v>
      </c>
      <c r="F70" s="10">
        <v>0.0</v>
      </c>
      <c r="G70" s="10"/>
      <c r="H70" s="10"/>
      <c r="I70" s="10"/>
      <c r="J70" s="10"/>
      <c r="K70" s="10"/>
      <c r="L70" s="10"/>
    </row>
    <row r="71">
      <c r="A71" s="2" t="s">
        <v>103</v>
      </c>
      <c r="B71" s="10">
        <v>102.0</v>
      </c>
      <c r="C71" s="10">
        <v>2.0</v>
      </c>
      <c r="D71" s="10">
        <v>20.0</v>
      </c>
      <c r="E71" s="10">
        <v>99.0</v>
      </c>
      <c r="F71" s="10">
        <v>0.0</v>
      </c>
      <c r="G71" s="10"/>
      <c r="H71" s="10"/>
      <c r="I71" s="10"/>
      <c r="J71" s="10"/>
      <c r="K71" s="10"/>
      <c r="L71" s="10"/>
    </row>
    <row r="72">
      <c r="A72" s="2" t="s">
        <v>104</v>
      </c>
      <c r="B72" s="10">
        <v>79.0</v>
      </c>
      <c r="C72" s="10">
        <v>1.0</v>
      </c>
      <c r="D72" s="10">
        <v>20.0</v>
      </c>
      <c r="E72" s="10">
        <v>78.0</v>
      </c>
      <c r="F72" s="10">
        <v>0.0</v>
      </c>
      <c r="G72" s="10"/>
      <c r="H72" s="10"/>
      <c r="I72" s="10"/>
      <c r="J72" s="10"/>
      <c r="K72" s="10"/>
      <c r="L72" s="10"/>
    </row>
    <row r="73">
      <c r="A73" s="2" t="s">
        <v>105</v>
      </c>
      <c r="B73" s="10">
        <v>89.0</v>
      </c>
      <c r="C73" s="10">
        <v>1.0</v>
      </c>
      <c r="D73" s="10">
        <v>17.0</v>
      </c>
      <c r="E73" s="10">
        <v>88.0</v>
      </c>
      <c r="F73" s="10">
        <v>0.0</v>
      </c>
      <c r="G73" s="10"/>
      <c r="H73" s="10"/>
      <c r="I73" s="10"/>
      <c r="J73" s="10"/>
      <c r="K73" s="10"/>
      <c r="L73" s="10"/>
    </row>
    <row r="74">
      <c r="A74" s="2" t="s">
        <v>106</v>
      </c>
      <c r="B74" s="10">
        <v>63.0</v>
      </c>
      <c r="C74" s="10">
        <v>1.0</v>
      </c>
      <c r="D74" s="10">
        <v>8.0</v>
      </c>
      <c r="E74" s="10">
        <v>61.0</v>
      </c>
      <c r="F74" s="10">
        <v>0.0</v>
      </c>
      <c r="G74" s="10"/>
      <c r="H74" s="10"/>
      <c r="I74" s="10"/>
      <c r="J74" s="10"/>
      <c r="K74" s="10"/>
      <c r="L74" s="10"/>
    </row>
    <row r="75">
      <c r="A75" s="2" t="s">
        <v>107</v>
      </c>
      <c r="B75" s="10">
        <v>56.0</v>
      </c>
      <c r="C75" s="10">
        <v>1.0</v>
      </c>
      <c r="D75" s="10">
        <v>15.0</v>
      </c>
      <c r="E75" s="10">
        <v>55.0</v>
      </c>
      <c r="F75" s="10">
        <v>0.0</v>
      </c>
      <c r="G75" s="10"/>
      <c r="H75" s="10"/>
      <c r="I75" s="10"/>
      <c r="J75" s="10"/>
      <c r="K75" s="10"/>
      <c r="L75" s="10"/>
    </row>
    <row r="76">
      <c r="A76" s="2" t="s">
        <v>108</v>
      </c>
      <c r="B76" s="10">
        <v>33.0</v>
      </c>
      <c r="C76" s="10">
        <v>4.0</v>
      </c>
      <c r="D76" s="10">
        <v>10.0</v>
      </c>
      <c r="E76" s="10">
        <v>29.0</v>
      </c>
      <c r="F76" s="10">
        <v>0.0</v>
      </c>
      <c r="G76" s="10"/>
      <c r="H76" s="10"/>
      <c r="I76" s="10"/>
      <c r="J76" s="10"/>
      <c r="K76" s="10"/>
      <c r="L76" s="10"/>
    </row>
    <row r="77">
      <c r="A77" s="2" t="s">
        <v>109</v>
      </c>
      <c r="B77" s="10">
        <v>55.0</v>
      </c>
      <c r="C77" s="10">
        <v>1.0</v>
      </c>
      <c r="D77" s="10">
        <v>17.0</v>
      </c>
      <c r="E77" s="10">
        <v>54.0</v>
      </c>
      <c r="F77" s="10">
        <v>0.0</v>
      </c>
      <c r="G77" s="10"/>
      <c r="H77" s="10"/>
      <c r="I77" s="10"/>
      <c r="J77" s="10"/>
      <c r="K77" s="10"/>
      <c r="L77" s="10"/>
    </row>
    <row r="78">
      <c r="A78" s="2" t="s">
        <v>110</v>
      </c>
      <c r="B78" s="10">
        <v>39.0</v>
      </c>
      <c r="C78" s="10">
        <v>3.0</v>
      </c>
      <c r="D78" s="10">
        <v>9.0</v>
      </c>
      <c r="E78" s="10">
        <v>36.0</v>
      </c>
      <c r="F78" s="10">
        <v>0.0</v>
      </c>
      <c r="G78" s="10"/>
      <c r="H78" s="10"/>
      <c r="I78" s="10"/>
      <c r="J78" s="10"/>
      <c r="K78" s="10"/>
      <c r="L78" s="10"/>
    </row>
    <row r="79">
      <c r="A79" s="2" t="s">
        <v>111</v>
      </c>
      <c r="B79" s="10">
        <v>664.0</v>
      </c>
      <c r="C79" s="10">
        <v>16.0</v>
      </c>
      <c r="D79" s="10">
        <v>149.0</v>
      </c>
      <c r="E79" s="10">
        <v>646.0</v>
      </c>
      <c r="F79" s="10">
        <v>0.0</v>
      </c>
      <c r="G79" s="10"/>
      <c r="H79" s="10"/>
      <c r="I79" s="10"/>
      <c r="J79" s="10"/>
      <c r="K79" s="10"/>
      <c r="L79" s="10"/>
    </row>
    <row r="80">
      <c r="A80" s="2" t="s">
        <v>112</v>
      </c>
      <c r="B80" s="10">
        <v>106.0</v>
      </c>
      <c r="C80" s="10">
        <v>0.0</v>
      </c>
      <c r="D80" s="10">
        <v>17.0</v>
      </c>
      <c r="E80" s="10">
        <v>106.0</v>
      </c>
      <c r="F80" s="10">
        <v>0.0</v>
      </c>
      <c r="G80" s="10"/>
      <c r="H80" s="10"/>
      <c r="I80" s="10"/>
      <c r="J80" s="10"/>
      <c r="K80" s="10"/>
      <c r="L80" s="10"/>
    </row>
    <row r="81">
      <c r="A81" s="2" t="s">
        <v>113</v>
      </c>
      <c r="B81" s="10">
        <v>137.0</v>
      </c>
      <c r="C81" s="10">
        <v>3.0</v>
      </c>
      <c r="D81" s="10">
        <v>25.0</v>
      </c>
      <c r="E81" s="10">
        <v>135.0</v>
      </c>
      <c r="F81" s="10">
        <v>0.0</v>
      </c>
      <c r="G81" s="10"/>
      <c r="H81" s="10"/>
      <c r="I81" s="10"/>
      <c r="J81" s="10"/>
      <c r="K81" s="10"/>
      <c r="L81" s="10"/>
    </row>
    <row r="82">
      <c r="A82" s="2" t="s">
        <v>114</v>
      </c>
      <c r="B82" s="10">
        <v>101.0</v>
      </c>
      <c r="C82" s="10">
        <v>0.0</v>
      </c>
      <c r="D82" s="10">
        <v>15.0</v>
      </c>
      <c r="E82" s="10">
        <v>101.0</v>
      </c>
      <c r="F82" s="10">
        <v>0.0</v>
      </c>
      <c r="G82" s="10"/>
      <c r="H82" s="10"/>
      <c r="I82" s="10"/>
      <c r="J82" s="10"/>
      <c r="K82" s="10"/>
      <c r="L82" s="10"/>
    </row>
    <row r="83">
      <c r="A83" s="2" t="s">
        <v>115</v>
      </c>
      <c r="B83" s="10">
        <v>344.0</v>
      </c>
      <c r="C83" s="10">
        <v>3.0</v>
      </c>
      <c r="D83" s="10">
        <v>57.0</v>
      </c>
      <c r="E83" s="10">
        <v>342.0</v>
      </c>
      <c r="F83" s="10">
        <v>0.0</v>
      </c>
      <c r="G83" s="10"/>
      <c r="H83" s="10"/>
      <c r="I83" s="10"/>
      <c r="J83" s="10"/>
      <c r="K83" s="10"/>
      <c r="L83" s="10"/>
    </row>
    <row r="84">
      <c r="A84" s="2" t="s">
        <v>116</v>
      </c>
      <c r="B84" s="10">
        <v>86.0</v>
      </c>
      <c r="C84" s="10">
        <v>0.0</v>
      </c>
      <c r="D84" s="10">
        <v>22.0</v>
      </c>
      <c r="E84" s="10">
        <v>86.0</v>
      </c>
      <c r="F84" s="10">
        <v>0.0</v>
      </c>
      <c r="G84" s="10"/>
      <c r="H84" s="10"/>
      <c r="I84" s="10"/>
      <c r="J84" s="10"/>
      <c r="K84" s="10"/>
      <c r="L84" s="10"/>
    </row>
    <row r="85">
      <c r="A85" s="2" t="s">
        <v>117</v>
      </c>
      <c r="B85" s="10">
        <v>110.0</v>
      </c>
      <c r="C85" s="10">
        <v>1.0</v>
      </c>
      <c r="D85" s="10">
        <v>35.0</v>
      </c>
      <c r="E85" s="10">
        <v>109.0</v>
      </c>
      <c r="F85" s="10">
        <v>0.0</v>
      </c>
      <c r="G85" s="10"/>
      <c r="H85" s="10"/>
      <c r="I85" s="10"/>
      <c r="J85" s="10"/>
      <c r="K85" s="10"/>
      <c r="L85" s="10"/>
    </row>
    <row r="86">
      <c r="A86" s="2" t="s">
        <v>118</v>
      </c>
      <c r="B86" s="10">
        <v>196.0</v>
      </c>
      <c r="C86" s="10">
        <v>1.0</v>
      </c>
      <c r="D86" s="10">
        <v>57.0</v>
      </c>
      <c r="E86" s="10">
        <v>195.0</v>
      </c>
      <c r="F86" s="10">
        <v>0.0</v>
      </c>
      <c r="G86" s="10"/>
      <c r="H86" s="10"/>
      <c r="I86" s="10"/>
      <c r="J86" s="10"/>
      <c r="K86" s="10"/>
      <c r="L86" s="10"/>
    </row>
    <row r="87">
      <c r="A87" s="2" t="s">
        <v>119</v>
      </c>
      <c r="B87" s="10">
        <v>4268.0</v>
      </c>
      <c r="C87" s="10">
        <v>34.0</v>
      </c>
      <c r="D87" s="10">
        <v>1138.0</v>
      </c>
      <c r="E87" s="10">
        <v>4230.0</v>
      </c>
      <c r="F87" s="10">
        <v>1.0</v>
      </c>
      <c r="G87" s="10"/>
      <c r="H87" s="10"/>
      <c r="I87" s="10"/>
      <c r="J87" s="10"/>
      <c r="K87" s="10"/>
      <c r="L87" s="10"/>
    </row>
    <row r="88">
      <c r="A88" s="24"/>
      <c r="B88" s="24"/>
      <c r="C88" s="24"/>
      <c r="D88" s="24"/>
      <c r="E88" s="24"/>
      <c r="F88" s="24"/>
      <c r="G88" s="10"/>
      <c r="H88" s="10"/>
      <c r="I88" s="10"/>
      <c r="J88" s="10"/>
      <c r="K88" s="10"/>
      <c r="L88" s="10"/>
    </row>
    <row r="89">
      <c r="A89" s="24"/>
      <c r="B89" s="24"/>
      <c r="C89" s="24"/>
      <c r="D89" s="24"/>
      <c r="E89" s="24"/>
      <c r="F89" s="24"/>
      <c r="G89" s="10"/>
      <c r="H89" s="10"/>
      <c r="I89" s="10"/>
      <c r="J89" s="10"/>
      <c r="K89" s="10"/>
      <c r="L89" s="10"/>
    </row>
    <row r="90">
      <c r="A90" s="2" t="s">
        <v>120</v>
      </c>
      <c r="G90" s="10"/>
      <c r="H90" s="10"/>
      <c r="I90" s="10"/>
      <c r="J90" s="10"/>
      <c r="K90" s="10"/>
      <c r="L90" s="10"/>
    </row>
    <row r="91">
      <c r="A91" s="2" t="s">
        <v>132</v>
      </c>
      <c r="G91" s="10"/>
      <c r="H91" s="10"/>
      <c r="I91" s="10"/>
      <c r="J91" s="10"/>
      <c r="K91" s="10"/>
      <c r="L91" s="10"/>
    </row>
    <row r="92">
      <c r="A92" s="2" t="s">
        <v>133</v>
      </c>
      <c r="G92" s="10"/>
      <c r="H92" s="10"/>
      <c r="I92" s="10"/>
      <c r="J92" s="10"/>
      <c r="K92" s="10"/>
      <c r="L92" s="10"/>
    </row>
    <row r="93">
      <c r="A93" s="2" t="s">
        <v>134</v>
      </c>
      <c r="G93" s="10"/>
      <c r="H93" s="10"/>
      <c r="I93" s="10"/>
      <c r="J93" s="10"/>
      <c r="K93" s="10"/>
      <c r="L93" s="10"/>
    </row>
    <row r="94">
      <c r="A94" s="2" t="s">
        <v>135</v>
      </c>
      <c r="G94" s="10"/>
      <c r="H94" s="10"/>
      <c r="I94" s="10"/>
      <c r="J94" s="10"/>
      <c r="K94" s="10"/>
      <c r="L94" s="10"/>
    </row>
    <row r="95">
      <c r="A95" s="2"/>
      <c r="G95" s="5"/>
      <c r="H95" s="5"/>
      <c r="I95" s="5"/>
      <c r="J95" s="5"/>
      <c r="K95" s="5"/>
      <c r="L95" s="5"/>
    </row>
    <row r="96">
      <c r="A96" s="2"/>
      <c r="G96" s="5"/>
      <c r="H96" s="5"/>
      <c r="I96" s="5"/>
      <c r="J96" s="5"/>
      <c r="K96" s="5"/>
      <c r="L96" s="5"/>
    </row>
    <row r="97">
      <c r="A97" s="2"/>
      <c r="G97" s="2"/>
      <c r="H97" s="2"/>
      <c r="I97" s="2"/>
      <c r="J97" s="5"/>
      <c r="K97" s="5"/>
      <c r="L97" s="5"/>
    </row>
    <row r="98">
      <c r="A98" s="2"/>
      <c r="G98" s="2"/>
      <c r="H98" s="2"/>
      <c r="I98" s="2"/>
      <c r="J98" s="2"/>
      <c r="K98" s="2"/>
      <c r="L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  <c r="K105" s="5"/>
      <c r="L105" s="5"/>
    </row>
    <row r="106">
      <c r="A106" s="2"/>
      <c r="L106" s="5"/>
    </row>
    <row r="107">
      <c r="A107" s="2"/>
      <c r="L107" s="5"/>
    </row>
  </sheetData>
  <mergeCells count="23">
    <mergeCell ref="A1:C1"/>
    <mergeCell ref="A2:B2"/>
    <mergeCell ref="A3:C3"/>
    <mergeCell ref="A5:F5"/>
    <mergeCell ref="A6:C6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106:K106"/>
    <mergeCell ref="A107:K107"/>
    <mergeCell ref="A99:L99"/>
    <mergeCell ref="A100:L100"/>
    <mergeCell ref="A101:L101"/>
    <mergeCell ref="A102:L102"/>
    <mergeCell ref="A103:L103"/>
    <mergeCell ref="A104:L104"/>
    <mergeCell ref="A105:J10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D1" s="5"/>
      <c r="E1" s="5"/>
      <c r="F1" s="5"/>
      <c r="G1" s="5"/>
      <c r="H1" s="5"/>
      <c r="I1" s="5"/>
      <c r="J1" s="5"/>
      <c r="K1" s="5"/>
      <c r="L1" s="5"/>
    </row>
    <row r="2">
      <c r="A2" s="2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2" t="s">
        <v>5</v>
      </c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2" t="s">
        <v>6</v>
      </c>
      <c r="G5" s="5"/>
      <c r="H5" s="5"/>
      <c r="I5" s="5"/>
      <c r="J5" s="5"/>
      <c r="K5" s="5"/>
      <c r="L5" s="5"/>
    </row>
    <row r="6">
      <c r="A6" s="2" t="s">
        <v>142</v>
      </c>
      <c r="D6" s="5"/>
      <c r="E6" s="5"/>
      <c r="F6" s="5"/>
      <c r="G6" s="5"/>
      <c r="H6" s="5"/>
      <c r="I6" s="5"/>
      <c r="J6" s="5"/>
      <c r="K6" s="5"/>
      <c r="L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/>
      <c r="H8" s="2"/>
      <c r="I8" s="2"/>
      <c r="J8" s="2"/>
      <c r="K8" s="2"/>
      <c r="L8" s="2"/>
    </row>
    <row r="9">
      <c r="A9" s="2" t="s">
        <v>24</v>
      </c>
      <c r="B9" s="10">
        <v>78.0</v>
      </c>
      <c r="C9" s="10">
        <v>0.0</v>
      </c>
      <c r="D9" s="10">
        <v>16.0</v>
      </c>
      <c r="E9" s="10">
        <v>78.0</v>
      </c>
      <c r="F9" s="10">
        <v>0.0</v>
      </c>
      <c r="G9" s="10"/>
      <c r="H9" s="10"/>
      <c r="I9" s="10"/>
      <c r="J9" s="10"/>
      <c r="K9" s="10"/>
      <c r="L9" s="10"/>
    </row>
    <row r="10">
      <c r="A10" s="2" t="s">
        <v>16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/>
      <c r="H10" s="10"/>
      <c r="I10" s="10"/>
      <c r="J10" s="10"/>
      <c r="K10" s="10"/>
      <c r="L10" s="10"/>
    </row>
    <row r="11">
      <c r="A11" s="2" t="s">
        <v>25</v>
      </c>
      <c r="B11" s="10">
        <v>61.0</v>
      </c>
      <c r="C11" s="10">
        <v>0.0</v>
      </c>
      <c r="D11" s="10">
        <v>14.0</v>
      </c>
      <c r="E11" s="10">
        <v>60.0</v>
      </c>
      <c r="F11" s="10">
        <v>0.0</v>
      </c>
      <c r="G11" s="10"/>
      <c r="H11" s="10"/>
      <c r="I11" s="10"/>
      <c r="J11" s="10"/>
      <c r="K11" s="10"/>
      <c r="L11" s="10"/>
    </row>
    <row r="12">
      <c r="A12" s="2" t="s">
        <v>26</v>
      </c>
      <c r="B12" s="10">
        <v>66.0</v>
      </c>
      <c r="C12" s="10">
        <v>0.0</v>
      </c>
      <c r="D12" s="10">
        <v>18.0</v>
      </c>
      <c r="E12" s="10">
        <v>66.0</v>
      </c>
      <c r="F12" s="10">
        <v>0.0</v>
      </c>
      <c r="G12" s="10"/>
      <c r="H12" s="10"/>
      <c r="I12" s="10"/>
      <c r="J12" s="10"/>
      <c r="K12" s="10"/>
      <c r="L12" s="10"/>
    </row>
    <row r="13">
      <c r="A13" s="2" t="s">
        <v>27</v>
      </c>
      <c r="B13" s="10">
        <v>58.0</v>
      </c>
      <c r="C13" s="10">
        <v>0.0</v>
      </c>
      <c r="D13" s="10">
        <v>11.0</v>
      </c>
      <c r="E13" s="10">
        <v>58.0</v>
      </c>
      <c r="F13" s="10">
        <v>0.0</v>
      </c>
      <c r="G13" s="10"/>
      <c r="H13" s="10"/>
      <c r="I13" s="10"/>
      <c r="J13" s="10"/>
      <c r="K13" s="10"/>
      <c r="L13" s="10"/>
    </row>
    <row r="14">
      <c r="A14" s="2" t="s">
        <v>28</v>
      </c>
      <c r="B14" s="10">
        <v>143.0</v>
      </c>
      <c r="C14" s="10">
        <v>0.0</v>
      </c>
      <c r="D14" s="10">
        <v>69.0</v>
      </c>
      <c r="E14" s="10">
        <v>143.0</v>
      </c>
      <c r="F14" s="10">
        <v>0.0</v>
      </c>
      <c r="G14" s="10"/>
      <c r="H14" s="10"/>
      <c r="I14" s="10"/>
      <c r="J14" s="10"/>
      <c r="K14" s="10"/>
      <c r="L14" s="10"/>
    </row>
    <row r="15">
      <c r="A15" s="2" t="s">
        <v>29</v>
      </c>
      <c r="B15" s="10">
        <v>67.0</v>
      </c>
      <c r="C15" s="10">
        <v>1.0</v>
      </c>
      <c r="D15" s="10">
        <v>27.0</v>
      </c>
      <c r="E15" s="10">
        <v>67.0</v>
      </c>
      <c r="F15" s="10">
        <v>1.0</v>
      </c>
      <c r="G15" s="10"/>
      <c r="H15" s="10"/>
      <c r="I15" s="10"/>
      <c r="J15" s="10"/>
      <c r="K15" s="10"/>
      <c r="L15" s="10"/>
    </row>
    <row r="16">
      <c r="A16" s="2" t="s">
        <v>31</v>
      </c>
      <c r="B16" s="10">
        <v>473.0</v>
      </c>
      <c r="C16" s="10">
        <v>1.0</v>
      </c>
      <c r="D16" s="10">
        <v>155.0</v>
      </c>
      <c r="E16" s="10">
        <v>472.0</v>
      </c>
      <c r="F16" s="10">
        <v>1.0</v>
      </c>
      <c r="G16" s="10"/>
      <c r="H16" s="10"/>
      <c r="I16" s="10"/>
      <c r="J16" s="10"/>
      <c r="K16" s="10"/>
      <c r="L16" s="10"/>
    </row>
    <row r="17">
      <c r="A17" s="2" t="s">
        <v>32</v>
      </c>
      <c r="B17" s="10">
        <v>94.0</v>
      </c>
      <c r="C17" s="10">
        <v>3.0</v>
      </c>
      <c r="D17" s="10">
        <v>28.0</v>
      </c>
      <c r="E17" s="10">
        <v>91.0</v>
      </c>
      <c r="F17" s="10">
        <v>0.0</v>
      </c>
      <c r="G17" s="10"/>
      <c r="H17" s="10"/>
      <c r="I17" s="10"/>
      <c r="J17" s="10"/>
      <c r="K17" s="10"/>
      <c r="L17" s="10"/>
    </row>
    <row r="18">
      <c r="A18" s="2" t="s">
        <v>33</v>
      </c>
      <c r="B18" s="10">
        <v>86.0</v>
      </c>
      <c r="C18" s="10">
        <v>0.0</v>
      </c>
      <c r="D18" s="10">
        <v>25.0</v>
      </c>
      <c r="E18" s="10">
        <v>86.0</v>
      </c>
      <c r="F18" s="10">
        <v>0.0</v>
      </c>
      <c r="G18" s="10"/>
      <c r="H18" s="10"/>
      <c r="I18" s="10"/>
      <c r="J18" s="10"/>
      <c r="K18" s="10"/>
      <c r="L18" s="10"/>
    </row>
    <row r="19">
      <c r="A19" s="2" t="s">
        <v>34</v>
      </c>
      <c r="B19" s="10">
        <v>80.0</v>
      </c>
      <c r="C19" s="10">
        <v>1.0</v>
      </c>
      <c r="D19" s="10">
        <v>22.0</v>
      </c>
      <c r="E19" s="10">
        <v>79.0</v>
      </c>
      <c r="F19" s="10">
        <v>0.0</v>
      </c>
      <c r="G19" s="10"/>
      <c r="H19" s="10"/>
      <c r="I19" s="10"/>
      <c r="J19" s="10"/>
      <c r="K19" s="10"/>
      <c r="L19" s="10"/>
    </row>
    <row r="20">
      <c r="A20" s="2" t="s">
        <v>36</v>
      </c>
      <c r="B20" s="10">
        <v>77.0</v>
      </c>
      <c r="C20" s="10">
        <v>1.0</v>
      </c>
      <c r="D20" s="10">
        <v>18.0</v>
      </c>
      <c r="E20" s="10">
        <v>77.0</v>
      </c>
      <c r="F20" s="10">
        <v>1.0</v>
      </c>
      <c r="G20" s="10"/>
      <c r="H20" s="10"/>
      <c r="I20" s="10"/>
      <c r="J20" s="10"/>
      <c r="K20" s="10"/>
      <c r="L20" s="10"/>
    </row>
    <row r="21">
      <c r="A21" s="2" t="s">
        <v>37</v>
      </c>
      <c r="B21" s="10">
        <v>337.0</v>
      </c>
      <c r="C21" s="10">
        <v>5.0</v>
      </c>
      <c r="D21" s="10">
        <v>93.0</v>
      </c>
      <c r="E21" s="10">
        <v>333.0</v>
      </c>
      <c r="F21" s="10">
        <v>1.0</v>
      </c>
      <c r="G21" s="10"/>
      <c r="H21" s="10"/>
      <c r="I21" s="10"/>
      <c r="J21" s="10"/>
      <c r="K21" s="10"/>
      <c r="L21" s="10"/>
    </row>
    <row r="22">
      <c r="A22" s="2" t="s">
        <v>40</v>
      </c>
      <c r="B22" s="10">
        <v>162.0</v>
      </c>
      <c r="C22" s="10">
        <v>0.0</v>
      </c>
      <c r="D22" s="10">
        <v>45.0</v>
      </c>
      <c r="E22" s="10">
        <v>162.0</v>
      </c>
      <c r="F22" s="10">
        <v>0.0</v>
      </c>
      <c r="G22" s="10"/>
      <c r="H22" s="10"/>
      <c r="I22" s="10"/>
      <c r="J22" s="10"/>
      <c r="K22" s="10"/>
      <c r="L22" s="10"/>
    </row>
    <row r="23">
      <c r="A23" s="2" t="s">
        <v>44</v>
      </c>
      <c r="B23" s="10">
        <v>168.0</v>
      </c>
      <c r="C23" s="10">
        <v>0.0</v>
      </c>
      <c r="D23" s="10">
        <v>59.0</v>
      </c>
      <c r="E23" s="10">
        <v>168.0</v>
      </c>
      <c r="F23" s="10">
        <v>0.0</v>
      </c>
      <c r="G23" s="10"/>
      <c r="H23" s="10"/>
      <c r="I23" s="10"/>
      <c r="J23" s="10"/>
      <c r="K23" s="10"/>
      <c r="L23" s="10"/>
    </row>
    <row r="24">
      <c r="A24" s="2" t="s">
        <v>48</v>
      </c>
      <c r="B24" s="10">
        <v>113.0</v>
      </c>
      <c r="C24" s="10">
        <v>1.0</v>
      </c>
      <c r="D24" s="10">
        <v>35.0</v>
      </c>
      <c r="E24" s="10">
        <v>112.0</v>
      </c>
      <c r="F24" s="10">
        <v>0.0</v>
      </c>
      <c r="G24" s="10"/>
      <c r="H24" s="10"/>
      <c r="I24" s="10"/>
      <c r="J24" s="10"/>
      <c r="K24" s="10"/>
      <c r="L24" s="10"/>
    </row>
    <row r="25">
      <c r="A25" s="2" t="s">
        <v>52</v>
      </c>
      <c r="B25" s="10">
        <v>443.0</v>
      </c>
      <c r="C25" s="10">
        <v>1.0</v>
      </c>
      <c r="D25" s="10">
        <v>139.0</v>
      </c>
      <c r="E25" s="10">
        <v>442.0</v>
      </c>
      <c r="F25" s="10">
        <v>0.0</v>
      </c>
      <c r="G25" s="10"/>
      <c r="H25" s="10"/>
      <c r="I25" s="10"/>
      <c r="J25" s="10"/>
      <c r="K25" s="10"/>
      <c r="L25" s="10"/>
    </row>
    <row r="26">
      <c r="A26" s="2" t="s">
        <v>54</v>
      </c>
      <c r="B26" s="10">
        <v>99.0</v>
      </c>
      <c r="C26" s="10">
        <v>0.0</v>
      </c>
      <c r="D26" s="10">
        <v>16.0</v>
      </c>
      <c r="E26" s="10">
        <v>99.0</v>
      </c>
      <c r="F26" s="10">
        <v>0.0</v>
      </c>
      <c r="G26" s="10"/>
      <c r="H26" s="10"/>
      <c r="I26" s="10"/>
      <c r="J26" s="10"/>
      <c r="K26" s="10"/>
      <c r="L26" s="10"/>
    </row>
    <row r="27">
      <c r="A27" s="2" t="s">
        <v>58</v>
      </c>
      <c r="B27" s="10">
        <v>56.0</v>
      </c>
      <c r="C27" s="10">
        <v>1.0</v>
      </c>
      <c r="D27" s="10">
        <v>14.0</v>
      </c>
      <c r="E27" s="10">
        <v>56.0</v>
      </c>
      <c r="F27" s="10">
        <v>1.0</v>
      </c>
      <c r="G27" s="10"/>
      <c r="H27" s="10"/>
      <c r="I27" s="10"/>
      <c r="J27" s="10"/>
      <c r="K27" s="10"/>
      <c r="L27" s="10"/>
    </row>
    <row r="28">
      <c r="A28" s="2" t="s">
        <v>60</v>
      </c>
      <c r="B28" s="10">
        <v>155.0</v>
      </c>
      <c r="C28" s="10">
        <v>1.0</v>
      </c>
      <c r="D28" s="10">
        <v>30.0</v>
      </c>
      <c r="E28" s="10">
        <v>155.0</v>
      </c>
      <c r="F28" s="10">
        <v>1.0</v>
      </c>
      <c r="G28" s="10"/>
      <c r="H28" s="10"/>
      <c r="I28" s="10"/>
      <c r="J28" s="10"/>
      <c r="K28" s="10"/>
      <c r="L28" s="10"/>
    </row>
    <row r="29">
      <c r="A29" s="2" t="s">
        <v>61</v>
      </c>
      <c r="B29" s="10">
        <v>72.0</v>
      </c>
      <c r="C29" s="10">
        <v>0.0</v>
      </c>
      <c r="D29" s="10">
        <v>11.0</v>
      </c>
      <c r="E29" s="10">
        <v>72.0</v>
      </c>
      <c r="F29" s="10">
        <v>0.0</v>
      </c>
      <c r="G29" s="10"/>
      <c r="H29" s="10"/>
      <c r="I29" s="10"/>
      <c r="J29" s="10"/>
      <c r="K29" s="10"/>
      <c r="L29" s="10"/>
    </row>
    <row r="30">
      <c r="A30" s="2" t="s">
        <v>62</v>
      </c>
      <c r="B30" s="10">
        <v>35.0</v>
      </c>
      <c r="C30" s="10">
        <v>0.0</v>
      </c>
      <c r="D30" s="10">
        <v>1.0</v>
      </c>
      <c r="E30" s="10">
        <v>35.0</v>
      </c>
      <c r="F30" s="10">
        <v>0.0</v>
      </c>
      <c r="G30" s="10"/>
      <c r="H30" s="10"/>
      <c r="I30" s="10"/>
      <c r="J30" s="10"/>
      <c r="K30" s="10"/>
      <c r="L30" s="10"/>
    </row>
    <row r="31">
      <c r="A31" s="2" t="s">
        <v>63</v>
      </c>
      <c r="B31" s="10">
        <v>56.0</v>
      </c>
      <c r="C31" s="10">
        <v>0.0</v>
      </c>
      <c r="D31" s="10">
        <v>6.0</v>
      </c>
      <c r="E31" s="10">
        <v>55.0</v>
      </c>
      <c r="F31" s="10">
        <v>0.0</v>
      </c>
      <c r="G31" s="10"/>
      <c r="H31" s="10"/>
      <c r="I31" s="10"/>
      <c r="J31" s="10"/>
      <c r="K31" s="10"/>
      <c r="L31" s="10"/>
    </row>
    <row r="32">
      <c r="A32" s="2" t="s">
        <v>64</v>
      </c>
      <c r="B32" s="10">
        <v>55.0</v>
      </c>
      <c r="C32" s="10">
        <v>0.0</v>
      </c>
      <c r="D32" s="10">
        <v>9.0</v>
      </c>
      <c r="E32" s="10">
        <v>55.0</v>
      </c>
      <c r="F32" s="10">
        <v>0.0</v>
      </c>
      <c r="G32" s="10"/>
      <c r="H32" s="10"/>
      <c r="I32" s="10"/>
      <c r="J32" s="10"/>
      <c r="K32" s="10"/>
      <c r="L32" s="10"/>
    </row>
    <row r="33">
      <c r="A33" s="2" t="s">
        <v>65</v>
      </c>
      <c r="B33" s="10">
        <v>33.0</v>
      </c>
      <c r="C33" s="10">
        <v>0.0</v>
      </c>
      <c r="D33" s="10">
        <v>6.0</v>
      </c>
      <c r="E33" s="10">
        <v>33.0</v>
      </c>
      <c r="F33" s="10">
        <v>0.0</v>
      </c>
      <c r="G33" s="10"/>
      <c r="H33" s="10"/>
      <c r="I33" s="10"/>
      <c r="J33" s="10"/>
      <c r="K33" s="10"/>
      <c r="L33" s="10"/>
    </row>
    <row r="34">
      <c r="A34" s="2" t="s">
        <v>66</v>
      </c>
      <c r="B34" s="10">
        <v>12.0</v>
      </c>
      <c r="C34" s="10">
        <v>0.0</v>
      </c>
      <c r="D34" s="10">
        <v>3.0</v>
      </c>
      <c r="E34" s="10">
        <v>12.0</v>
      </c>
      <c r="F34" s="10">
        <v>0.0</v>
      </c>
      <c r="G34" s="10"/>
      <c r="H34" s="10"/>
      <c r="I34" s="10"/>
      <c r="J34" s="10"/>
      <c r="K34" s="10"/>
      <c r="L34" s="10"/>
    </row>
    <row r="35">
      <c r="A35" s="2" t="s">
        <v>67</v>
      </c>
      <c r="B35" s="10">
        <v>10.0</v>
      </c>
      <c r="C35" s="10">
        <v>0.0</v>
      </c>
      <c r="D35" s="10">
        <v>0.0</v>
      </c>
      <c r="E35" s="10">
        <v>10.0</v>
      </c>
      <c r="F35" s="10">
        <v>0.0</v>
      </c>
      <c r="G35" s="10"/>
      <c r="H35" s="10"/>
      <c r="I35" s="10"/>
      <c r="J35" s="10"/>
      <c r="K35" s="10"/>
      <c r="L35" s="10"/>
    </row>
    <row r="36">
      <c r="A36" s="2" t="s">
        <v>68</v>
      </c>
      <c r="B36" s="10">
        <v>42.0</v>
      </c>
      <c r="C36" s="10">
        <v>0.0</v>
      </c>
      <c r="D36" s="10">
        <v>7.0</v>
      </c>
      <c r="E36" s="10">
        <v>42.0</v>
      </c>
      <c r="F36" s="10">
        <v>0.0</v>
      </c>
      <c r="G36" s="10"/>
      <c r="H36" s="10"/>
      <c r="I36" s="10"/>
      <c r="J36" s="10"/>
      <c r="K36" s="10"/>
      <c r="L36" s="10"/>
    </row>
    <row r="37">
      <c r="A37" s="2" t="s">
        <v>69</v>
      </c>
      <c r="B37" s="10">
        <v>28.0</v>
      </c>
      <c r="C37" s="10">
        <v>0.0</v>
      </c>
      <c r="D37" s="10">
        <v>8.0</v>
      </c>
      <c r="E37" s="10">
        <v>28.0</v>
      </c>
      <c r="F37" s="10">
        <v>0.0</v>
      </c>
      <c r="G37" s="10"/>
      <c r="H37" s="10"/>
      <c r="I37" s="10"/>
      <c r="J37" s="10"/>
      <c r="K37" s="10"/>
      <c r="L37" s="10"/>
    </row>
    <row r="38">
      <c r="A38" s="2" t="s">
        <v>70</v>
      </c>
      <c r="B38" s="10">
        <v>36.0</v>
      </c>
      <c r="C38" s="10">
        <v>0.0</v>
      </c>
      <c r="D38" s="10">
        <v>6.0</v>
      </c>
      <c r="E38" s="10">
        <v>36.0</v>
      </c>
      <c r="F38" s="10">
        <v>0.0</v>
      </c>
      <c r="G38" s="10"/>
      <c r="H38" s="10"/>
      <c r="I38" s="10"/>
      <c r="J38" s="10"/>
      <c r="K38" s="10"/>
      <c r="L38" s="10"/>
    </row>
    <row r="39">
      <c r="A39" s="2" t="s">
        <v>71</v>
      </c>
      <c r="B39" s="10">
        <v>61.0</v>
      </c>
      <c r="C39" s="10">
        <v>0.0</v>
      </c>
      <c r="D39" s="10">
        <v>13.0</v>
      </c>
      <c r="E39" s="10">
        <v>61.0</v>
      </c>
      <c r="F39" s="10">
        <v>0.0</v>
      </c>
      <c r="G39" s="10"/>
      <c r="H39" s="10"/>
      <c r="I39" s="10"/>
      <c r="J39" s="10"/>
      <c r="K39" s="10"/>
      <c r="L39" s="10"/>
    </row>
    <row r="40">
      <c r="A40" s="2" t="s">
        <v>72</v>
      </c>
      <c r="B40" s="10">
        <v>143.0</v>
      </c>
      <c r="C40" s="10">
        <v>0.0</v>
      </c>
      <c r="D40" s="10">
        <v>23.0</v>
      </c>
      <c r="E40" s="10">
        <v>143.0</v>
      </c>
      <c r="F40" s="10">
        <v>0.0</v>
      </c>
      <c r="G40" s="10"/>
      <c r="H40" s="10"/>
      <c r="I40" s="10"/>
      <c r="J40" s="10"/>
      <c r="K40" s="10"/>
      <c r="L40" s="10"/>
    </row>
    <row r="41">
      <c r="A41" s="2" t="s">
        <v>73</v>
      </c>
      <c r="B41" s="10">
        <v>29.0</v>
      </c>
      <c r="C41" s="10">
        <v>0.0</v>
      </c>
      <c r="D41" s="10">
        <v>1.0</v>
      </c>
      <c r="E41" s="10">
        <v>29.0</v>
      </c>
      <c r="F41" s="10">
        <v>0.0</v>
      </c>
      <c r="G41" s="10"/>
      <c r="H41" s="10"/>
      <c r="I41" s="10"/>
      <c r="J41" s="10"/>
      <c r="K41" s="10"/>
      <c r="L41" s="10"/>
    </row>
    <row r="42">
      <c r="A42" s="2" t="s">
        <v>74</v>
      </c>
      <c r="B42" s="10">
        <v>8.0</v>
      </c>
      <c r="C42" s="10">
        <v>0.0</v>
      </c>
      <c r="D42" s="10">
        <v>0.0</v>
      </c>
      <c r="E42" s="10">
        <v>8.0</v>
      </c>
      <c r="F42" s="10">
        <v>0.0</v>
      </c>
      <c r="G42" s="10"/>
      <c r="H42" s="10"/>
      <c r="I42" s="10"/>
      <c r="J42" s="10"/>
      <c r="K42" s="10"/>
      <c r="L42" s="10"/>
    </row>
    <row r="43">
      <c r="A43" s="2" t="s">
        <v>75</v>
      </c>
      <c r="B43" s="10">
        <v>12.0</v>
      </c>
      <c r="C43" s="10">
        <v>0.0</v>
      </c>
      <c r="D43" s="10">
        <v>1.0</v>
      </c>
      <c r="E43" s="10">
        <v>12.0</v>
      </c>
      <c r="F43" s="10">
        <v>0.0</v>
      </c>
      <c r="G43" s="10"/>
      <c r="H43" s="10"/>
      <c r="I43" s="10"/>
      <c r="J43" s="10"/>
      <c r="K43" s="10"/>
      <c r="L43" s="10"/>
    </row>
    <row r="44">
      <c r="A44" s="2" t="s">
        <v>76</v>
      </c>
      <c r="B44" s="10">
        <v>9.0</v>
      </c>
      <c r="C44" s="10">
        <v>0.0</v>
      </c>
      <c r="D44" s="10">
        <v>0.0</v>
      </c>
      <c r="E44" s="10">
        <v>9.0</v>
      </c>
      <c r="F44" s="10">
        <v>0.0</v>
      </c>
      <c r="G44" s="10"/>
      <c r="H44" s="10"/>
      <c r="I44" s="10"/>
      <c r="J44" s="10"/>
      <c r="K44" s="10"/>
      <c r="L44" s="10"/>
    </row>
    <row r="45">
      <c r="A45" s="2" t="s">
        <v>77</v>
      </c>
      <c r="B45" s="10">
        <v>193.0</v>
      </c>
      <c r="C45" s="10">
        <v>0.0</v>
      </c>
      <c r="D45" s="10">
        <v>43.0</v>
      </c>
      <c r="E45" s="10">
        <v>193.0</v>
      </c>
      <c r="F45" s="10">
        <v>0.0</v>
      </c>
      <c r="G45" s="10"/>
      <c r="H45" s="10"/>
      <c r="I45" s="10"/>
      <c r="J45" s="10"/>
      <c r="K45" s="10"/>
      <c r="L45" s="10"/>
    </row>
    <row r="46">
      <c r="A46" s="2" t="s">
        <v>78</v>
      </c>
      <c r="B46" s="10">
        <v>60.0</v>
      </c>
      <c r="C46" s="10">
        <v>0.0</v>
      </c>
      <c r="D46" s="10">
        <v>8.0</v>
      </c>
      <c r="E46" s="10">
        <v>60.0</v>
      </c>
      <c r="F46" s="10">
        <v>0.0</v>
      </c>
      <c r="G46" s="10"/>
      <c r="H46" s="10"/>
      <c r="I46" s="10"/>
      <c r="J46" s="10"/>
      <c r="K46" s="10"/>
      <c r="L46" s="10"/>
    </row>
    <row r="47">
      <c r="A47" s="2" t="s">
        <v>79</v>
      </c>
      <c r="B47" s="10">
        <v>58.0</v>
      </c>
      <c r="C47" s="10">
        <v>0.0</v>
      </c>
      <c r="D47" s="10">
        <v>5.0</v>
      </c>
      <c r="E47" s="10">
        <v>58.0</v>
      </c>
      <c r="F47" s="10">
        <v>0.0</v>
      </c>
      <c r="G47" s="10"/>
      <c r="H47" s="10"/>
      <c r="I47" s="10"/>
      <c r="J47" s="10"/>
      <c r="K47" s="10"/>
      <c r="L47" s="10"/>
    </row>
    <row r="48">
      <c r="A48" s="2" t="s">
        <v>80</v>
      </c>
      <c r="B48" s="10">
        <v>43.0</v>
      </c>
      <c r="C48" s="10">
        <v>0.0</v>
      </c>
      <c r="D48" s="10">
        <v>3.0</v>
      </c>
      <c r="E48" s="10">
        <v>43.0</v>
      </c>
      <c r="F48" s="10">
        <v>0.0</v>
      </c>
      <c r="G48" s="10"/>
      <c r="H48" s="10"/>
      <c r="I48" s="10"/>
      <c r="J48" s="10"/>
      <c r="K48" s="10"/>
      <c r="L48" s="10"/>
    </row>
    <row r="49">
      <c r="A49" s="2" t="s">
        <v>81</v>
      </c>
      <c r="B49" s="10">
        <v>12.0</v>
      </c>
      <c r="C49" s="10">
        <v>0.0</v>
      </c>
      <c r="D49" s="10">
        <v>2.0</v>
      </c>
      <c r="E49" s="10">
        <v>12.0</v>
      </c>
      <c r="F49" s="10">
        <v>0.0</v>
      </c>
      <c r="G49" s="10"/>
      <c r="H49" s="10"/>
      <c r="I49" s="10"/>
      <c r="J49" s="10"/>
      <c r="K49" s="10"/>
      <c r="L49" s="10"/>
    </row>
    <row r="50">
      <c r="A50" s="2" t="s">
        <v>82</v>
      </c>
      <c r="B50" s="10">
        <v>3.0</v>
      </c>
      <c r="C50" s="10">
        <v>0.0</v>
      </c>
      <c r="D50" s="10">
        <v>0.0</v>
      </c>
      <c r="E50" s="10">
        <v>3.0</v>
      </c>
      <c r="F50" s="10">
        <v>0.0</v>
      </c>
      <c r="G50" s="10"/>
      <c r="H50" s="10"/>
      <c r="I50" s="10"/>
      <c r="J50" s="10"/>
      <c r="K50" s="10"/>
      <c r="L50" s="10"/>
    </row>
    <row r="51">
      <c r="A51" s="2" t="s">
        <v>83</v>
      </c>
      <c r="B51" s="10">
        <v>71.0</v>
      </c>
      <c r="C51" s="10">
        <v>0.0</v>
      </c>
      <c r="D51" s="10">
        <v>12.0</v>
      </c>
      <c r="E51" s="10">
        <v>71.0</v>
      </c>
      <c r="F51" s="10">
        <v>0.0</v>
      </c>
      <c r="G51" s="10"/>
      <c r="H51" s="10"/>
      <c r="I51" s="10"/>
      <c r="J51" s="10"/>
      <c r="K51" s="10"/>
      <c r="L51" s="10"/>
    </row>
    <row r="52">
      <c r="A52" s="2" t="s">
        <v>84</v>
      </c>
      <c r="B52" s="10">
        <v>939.0</v>
      </c>
      <c r="C52" s="10">
        <v>0.0</v>
      </c>
      <c r="D52" s="10">
        <v>153.0</v>
      </c>
      <c r="E52" s="10">
        <v>938.0</v>
      </c>
      <c r="F52" s="10">
        <v>0.0</v>
      </c>
      <c r="G52" s="10"/>
      <c r="H52" s="10"/>
      <c r="I52" s="10"/>
      <c r="J52" s="10"/>
      <c r="K52" s="10"/>
      <c r="L52" s="10"/>
    </row>
    <row r="53">
      <c r="A53" s="2" t="s">
        <v>85</v>
      </c>
      <c r="B53" s="10">
        <v>28.0</v>
      </c>
      <c r="C53" s="10">
        <v>0.0</v>
      </c>
      <c r="D53" s="10">
        <v>5.0</v>
      </c>
      <c r="E53" s="10">
        <v>28.0</v>
      </c>
      <c r="F53" s="10">
        <v>0.0</v>
      </c>
      <c r="G53" s="10"/>
      <c r="H53" s="10"/>
      <c r="I53" s="10"/>
      <c r="J53" s="10"/>
      <c r="K53" s="10"/>
      <c r="L53" s="10"/>
    </row>
    <row r="54">
      <c r="A54" s="2" t="s">
        <v>86</v>
      </c>
      <c r="B54" s="10">
        <v>116.0</v>
      </c>
      <c r="C54" s="10">
        <v>3.0</v>
      </c>
      <c r="D54" s="10">
        <v>83.0</v>
      </c>
      <c r="E54" s="10">
        <v>113.0</v>
      </c>
      <c r="F54" s="10">
        <v>0.0</v>
      </c>
      <c r="G54" s="10"/>
      <c r="H54" s="10"/>
      <c r="I54" s="10"/>
      <c r="J54" s="10"/>
      <c r="K54" s="10"/>
      <c r="L54" s="10"/>
    </row>
    <row r="55">
      <c r="A55" s="2" t="s">
        <v>87</v>
      </c>
      <c r="B55" s="10">
        <v>70.0</v>
      </c>
      <c r="C55" s="10">
        <v>1.0</v>
      </c>
      <c r="D55" s="10">
        <v>56.0</v>
      </c>
      <c r="E55" s="10">
        <v>69.0</v>
      </c>
      <c r="F55" s="10">
        <v>0.0</v>
      </c>
      <c r="G55" s="10"/>
      <c r="H55" s="10"/>
      <c r="I55" s="10"/>
      <c r="J55" s="10"/>
      <c r="K55" s="10"/>
      <c r="L55" s="10"/>
    </row>
    <row r="56">
      <c r="A56" s="2" t="s">
        <v>88</v>
      </c>
      <c r="B56" s="10">
        <v>17.0</v>
      </c>
      <c r="C56" s="10">
        <v>1.0</v>
      </c>
      <c r="D56" s="10">
        <v>11.0</v>
      </c>
      <c r="E56" s="10">
        <v>16.0</v>
      </c>
      <c r="F56" s="10">
        <v>0.0</v>
      </c>
      <c r="G56" s="10"/>
      <c r="H56" s="10"/>
      <c r="I56" s="10"/>
      <c r="J56" s="10"/>
      <c r="K56" s="10"/>
      <c r="L56" s="10"/>
    </row>
    <row r="57">
      <c r="A57" s="2" t="s">
        <v>89</v>
      </c>
      <c r="B57" s="10">
        <v>29.0</v>
      </c>
      <c r="C57" s="10">
        <v>1.0</v>
      </c>
      <c r="D57" s="10">
        <v>16.0</v>
      </c>
      <c r="E57" s="10">
        <v>28.0</v>
      </c>
      <c r="F57" s="10">
        <v>0.0</v>
      </c>
      <c r="G57" s="10"/>
      <c r="H57" s="10"/>
      <c r="I57" s="10"/>
      <c r="J57" s="10"/>
      <c r="K57" s="10"/>
      <c r="L57" s="10"/>
    </row>
    <row r="58">
      <c r="A58" s="2" t="s">
        <v>90</v>
      </c>
      <c r="B58" s="10">
        <v>69.0</v>
      </c>
      <c r="C58" s="10">
        <v>0.0</v>
      </c>
      <c r="D58" s="10">
        <v>57.0</v>
      </c>
      <c r="E58" s="10">
        <v>69.0</v>
      </c>
      <c r="F58" s="10">
        <v>0.0</v>
      </c>
      <c r="G58" s="10"/>
      <c r="H58" s="10"/>
      <c r="I58" s="10"/>
      <c r="J58" s="10"/>
      <c r="K58" s="10"/>
      <c r="L58" s="10"/>
    </row>
    <row r="59">
      <c r="A59" s="2" t="s">
        <v>91</v>
      </c>
      <c r="B59" s="10">
        <v>75.0</v>
      </c>
      <c r="C59" s="10">
        <v>1.0</v>
      </c>
      <c r="D59" s="10">
        <v>16.0</v>
      </c>
      <c r="E59" s="10">
        <v>74.0</v>
      </c>
      <c r="F59" s="10">
        <v>0.0</v>
      </c>
      <c r="G59" s="10"/>
      <c r="H59" s="10"/>
      <c r="I59" s="10"/>
      <c r="J59" s="10"/>
      <c r="K59" s="10"/>
      <c r="L59" s="10"/>
    </row>
    <row r="60">
      <c r="A60" s="2" t="s">
        <v>92</v>
      </c>
      <c r="B60" s="10">
        <v>75.0</v>
      </c>
      <c r="C60" s="10">
        <v>0.0</v>
      </c>
      <c r="D60" s="10">
        <v>24.0</v>
      </c>
      <c r="E60" s="10">
        <v>75.0</v>
      </c>
      <c r="F60" s="10">
        <v>0.0</v>
      </c>
      <c r="G60" s="10"/>
      <c r="H60" s="10"/>
      <c r="I60" s="10"/>
      <c r="J60" s="10"/>
      <c r="K60" s="10"/>
      <c r="L60" s="10"/>
    </row>
    <row r="61">
      <c r="A61" s="2" t="s">
        <v>93</v>
      </c>
      <c r="B61" s="10">
        <v>108.0</v>
      </c>
      <c r="C61" s="10">
        <v>0.0</v>
      </c>
      <c r="D61" s="10">
        <v>18.0</v>
      </c>
      <c r="E61" s="10">
        <v>108.0</v>
      </c>
      <c r="F61" s="10">
        <v>0.0</v>
      </c>
      <c r="G61" s="10"/>
      <c r="H61" s="10"/>
      <c r="I61" s="10"/>
      <c r="J61" s="10"/>
      <c r="K61" s="10"/>
      <c r="L61" s="10"/>
    </row>
    <row r="62">
      <c r="A62" s="2" t="s">
        <v>94</v>
      </c>
      <c r="B62" s="10">
        <v>54.0</v>
      </c>
      <c r="C62" s="10">
        <v>0.0</v>
      </c>
      <c r="D62" s="10">
        <v>48.0</v>
      </c>
      <c r="E62" s="10">
        <v>53.0</v>
      </c>
      <c r="F62" s="10">
        <v>0.0</v>
      </c>
      <c r="G62" s="10"/>
      <c r="H62" s="10"/>
      <c r="I62" s="10"/>
      <c r="J62" s="10"/>
      <c r="K62" s="10"/>
      <c r="L62" s="10"/>
    </row>
    <row r="63">
      <c r="A63" s="2" t="s">
        <v>95</v>
      </c>
      <c r="B63" s="10">
        <v>32.0</v>
      </c>
      <c r="C63" s="10">
        <v>0.0</v>
      </c>
      <c r="D63" s="10">
        <v>27.0</v>
      </c>
      <c r="E63" s="10">
        <v>31.0</v>
      </c>
      <c r="F63" s="10">
        <v>0.0</v>
      </c>
      <c r="G63" s="10"/>
      <c r="H63" s="10"/>
      <c r="I63" s="10"/>
      <c r="J63" s="10"/>
      <c r="K63" s="10"/>
      <c r="L63" s="10"/>
    </row>
    <row r="64">
      <c r="A64" s="2" t="s">
        <v>96</v>
      </c>
      <c r="B64" s="10">
        <v>10.0</v>
      </c>
      <c r="C64" s="10">
        <v>0.0</v>
      </c>
      <c r="D64" s="10">
        <v>9.0</v>
      </c>
      <c r="E64" s="10">
        <v>10.0</v>
      </c>
      <c r="F64" s="10">
        <v>0.0</v>
      </c>
      <c r="G64" s="10"/>
      <c r="H64" s="10"/>
      <c r="I64" s="10"/>
      <c r="J64" s="10"/>
      <c r="K64" s="10"/>
      <c r="L64" s="10"/>
    </row>
    <row r="65">
      <c r="A65" s="2" t="s">
        <v>97</v>
      </c>
      <c r="B65" s="10">
        <v>12.0</v>
      </c>
      <c r="C65" s="10">
        <v>0.0</v>
      </c>
      <c r="D65" s="10">
        <v>12.0</v>
      </c>
      <c r="E65" s="10">
        <v>12.0</v>
      </c>
      <c r="F65" s="10">
        <v>0.0</v>
      </c>
      <c r="G65" s="10"/>
      <c r="H65" s="10"/>
      <c r="I65" s="10"/>
      <c r="J65" s="10"/>
      <c r="K65" s="10"/>
      <c r="L65" s="10"/>
    </row>
    <row r="66">
      <c r="A66" s="2" t="s">
        <v>98</v>
      </c>
      <c r="B66" s="10">
        <v>79.0</v>
      </c>
      <c r="C66" s="10">
        <v>0.0</v>
      </c>
      <c r="D66" s="10">
        <v>33.0</v>
      </c>
      <c r="E66" s="10">
        <v>78.0</v>
      </c>
      <c r="F66" s="10">
        <v>0.0</v>
      </c>
      <c r="G66" s="10"/>
      <c r="H66" s="10"/>
      <c r="I66" s="10"/>
      <c r="J66" s="10"/>
      <c r="K66" s="10"/>
      <c r="L66" s="10"/>
    </row>
    <row r="67">
      <c r="A67" s="2" t="s">
        <v>99</v>
      </c>
      <c r="B67" s="10">
        <v>81.0</v>
      </c>
      <c r="C67" s="10">
        <v>1.0</v>
      </c>
      <c r="D67" s="10">
        <v>17.0</v>
      </c>
      <c r="E67" s="10">
        <v>80.0</v>
      </c>
      <c r="F67" s="10">
        <v>0.0</v>
      </c>
      <c r="G67" s="10"/>
      <c r="H67" s="10"/>
      <c r="I67" s="10"/>
      <c r="J67" s="10"/>
      <c r="K67" s="10"/>
      <c r="L67" s="10"/>
    </row>
    <row r="68">
      <c r="A68" s="2" t="s">
        <v>100</v>
      </c>
      <c r="B68" s="10">
        <v>685.0</v>
      </c>
      <c r="C68" s="10">
        <v>5.0</v>
      </c>
      <c r="D68" s="10">
        <v>301.0</v>
      </c>
      <c r="E68" s="10">
        <v>678.0</v>
      </c>
      <c r="F68" s="10">
        <v>0.0</v>
      </c>
      <c r="G68" s="10"/>
      <c r="H68" s="10"/>
      <c r="I68" s="10"/>
      <c r="J68" s="10"/>
      <c r="K68" s="10"/>
      <c r="L68" s="10"/>
    </row>
    <row r="69">
      <c r="A69" s="2" t="s">
        <v>101</v>
      </c>
      <c r="B69" s="10">
        <v>29.0</v>
      </c>
      <c r="C69" s="10">
        <v>1.0</v>
      </c>
      <c r="D69" s="10">
        <v>9.0</v>
      </c>
      <c r="E69" s="10">
        <v>28.0</v>
      </c>
      <c r="F69" s="10">
        <v>0.0</v>
      </c>
      <c r="G69" s="10"/>
      <c r="H69" s="10"/>
      <c r="I69" s="10"/>
      <c r="J69" s="10"/>
      <c r="K69" s="10"/>
      <c r="L69" s="10"/>
    </row>
    <row r="70">
      <c r="A70" s="2" t="s">
        <v>102</v>
      </c>
      <c r="B70" s="10">
        <v>122.0</v>
      </c>
      <c r="C70" s="10">
        <v>1.0</v>
      </c>
      <c r="D70" s="10">
        <v>24.0</v>
      </c>
      <c r="E70" s="10">
        <v>121.0</v>
      </c>
      <c r="F70" s="10">
        <v>0.0</v>
      </c>
      <c r="G70" s="10"/>
      <c r="H70" s="10"/>
      <c r="I70" s="10"/>
      <c r="J70" s="10"/>
      <c r="K70" s="10"/>
      <c r="L70" s="10"/>
    </row>
    <row r="71">
      <c r="A71" s="2" t="s">
        <v>103</v>
      </c>
      <c r="B71" s="10">
        <v>102.0</v>
      </c>
      <c r="C71" s="10">
        <v>2.0</v>
      </c>
      <c r="D71" s="10">
        <v>20.0</v>
      </c>
      <c r="E71" s="10">
        <v>99.0</v>
      </c>
      <c r="F71" s="10">
        <v>0.0</v>
      </c>
      <c r="G71" s="10"/>
      <c r="H71" s="10"/>
      <c r="I71" s="10"/>
      <c r="J71" s="10"/>
      <c r="K71" s="10"/>
      <c r="L71" s="10"/>
    </row>
    <row r="72">
      <c r="A72" s="2" t="s">
        <v>104</v>
      </c>
      <c r="B72" s="10">
        <v>81.0</v>
      </c>
      <c r="C72" s="10">
        <v>1.0</v>
      </c>
      <c r="D72" s="10">
        <v>21.0</v>
      </c>
      <c r="E72" s="10">
        <v>80.0</v>
      </c>
      <c r="F72" s="10">
        <v>0.0</v>
      </c>
      <c r="G72" s="10"/>
      <c r="H72" s="10"/>
      <c r="I72" s="10"/>
      <c r="J72" s="10"/>
      <c r="K72" s="10"/>
      <c r="L72" s="10"/>
    </row>
    <row r="73">
      <c r="A73" s="2" t="s">
        <v>105</v>
      </c>
      <c r="B73" s="10">
        <v>86.0</v>
      </c>
      <c r="C73" s="10">
        <v>1.0</v>
      </c>
      <c r="D73" s="10">
        <v>16.0</v>
      </c>
      <c r="E73" s="10">
        <v>85.0</v>
      </c>
      <c r="F73" s="10">
        <v>0.0</v>
      </c>
      <c r="G73" s="10"/>
      <c r="H73" s="10"/>
      <c r="I73" s="10"/>
      <c r="J73" s="10"/>
      <c r="K73" s="10"/>
      <c r="L73" s="10"/>
    </row>
    <row r="74">
      <c r="A74" s="2" t="s">
        <v>106</v>
      </c>
      <c r="B74" s="10">
        <v>64.0</v>
      </c>
      <c r="C74" s="10">
        <v>1.0</v>
      </c>
      <c r="D74" s="10">
        <v>8.0</v>
      </c>
      <c r="E74" s="10">
        <v>62.0</v>
      </c>
      <c r="F74" s="10">
        <v>0.0</v>
      </c>
      <c r="G74" s="10"/>
      <c r="H74" s="10"/>
      <c r="I74" s="10"/>
      <c r="J74" s="10"/>
      <c r="K74" s="10"/>
      <c r="L74" s="10"/>
    </row>
    <row r="75">
      <c r="A75" s="2" t="s">
        <v>107</v>
      </c>
      <c r="B75" s="10">
        <v>55.0</v>
      </c>
      <c r="C75" s="10">
        <v>1.0</v>
      </c>
      <c r="D75" s="10">
        <v>15.0</v>
      </c>
      <c r="E75" s="10">
        <v>54.0</v>
      </c>
      <c r="F75" s="10">
        <v>0.0</v>
      </c>
      <c r="G75" s="10"/>
      <c r="H75" s="10"/>
      <c r="I75" s="10"/>
      <c r="J75" s="10"/>
      <c r="K75" s="10"/>
      <c r="L75" s="10"/>
    </row>
    <row r="76">
      <c r="A76" s="2" t="s">
        <v>108</v>
      </c>
      <c r="B76" s="10">
        <v>30.0</v>
      </c>
      <c r="C76" s="10">
        <v>3.0</v>
      </c>
      <c r="D76" s="10">
        <v>8.0</v>
      </c>
      <c r="E76" s="10">
        <v>27.0</v>
      </c>
      <c r="F76" s="10">
        <v>0.0</v>
      </c>
      <c r="G76" s="10"/>
      <c r="H76" s="10"/>
      <c r="I76" s="10"/>
      <c r="J76" s="10"/>
      <c r="K76" s="10"/>
      <c r="L76" s="10"/>
    </row>
    <row r="77">
      <c r="A77" s="2" t="s">
        <v>109</v>
      </c>
      <c r="B77" s="10">
        <v>58.0</v>
      </c>
      <c r="C77" s="10">
        <v>1.0</v>
      </c>
      <c r="D77" s="10">
        <v>16.0</v>
      </c>
      <c r="E77" s="10">
        <v>57.0</v>
      </c>
      <c r="F77" s="10">
        <v>0.0</v>
      </c>
      <c r="G77" s="10"/>
      <c r="H77" s="10"/>
      <c r="I77" s="10"/>
      <c r="J77" s="10"/>
      <c r="K77" s="10"/>
      <c r="L77" s="10"/>
    </row>
    <row r="78">
      <c r="A78" s="2" t="s">
        <v>110</v>
      </c>
      <c r="B78" s="10">
        <v>37.0</v>
      </c>
      <c r="C78" s="10">
        <v>2.0</v>
      </c>
      <c r="D78" s="10">
        <v>8.0</v>
      </c>
      <c r="E78" s="10">
        <v>35.0</v>
      </c>
      <c r="F78" s="10">
        <v>0.0</v>
      </c>
      <c r="G78" s="10"/>
      <c r="H78" s="10"/>
      <c r="I78" s="10"/>
      <c r="J78" s="10"/>
      <c r="K78" s="10"/>
      <c r="L78" s="10"/>
    </row>
    <row r="79">
      <c r="A79" s="2" t="s">
        <v>111</v>
      </c>
      <c r="B79" s="10">
        <v>664.0</v>
      </c>
      <c r="C79" s="10">
        <v>14.0</v>
      </c>
      <c r="D79" s="10">
        <v>145.0</v>
      </c>
      <c r="E79" s="10">
        <v>648.0</v>
      </c>
      <c r="F79" s="10">
        <v>0.0</v>
      </c>
      <c r="G79" s="10"/>
      <c r="H79" s="10"/>
      <c r="I79" s="10"/>
      <c r="J79" s="10"/>
      <c r="K79" s="10"/>
      <c r="L79" s="10"/>
    </row>
    <row r="80">
      <c r="A80" s="2" t="s">
        <v>112</v>
      </c>
      <c r="B80" s="10">
        <v>101.0</v>
      </c>
      <c r="C80" s="10">
        <v>0.0</v>
      </c>
      <c r="D80" s="10">
        <v>20.0</v>
      </c>
      <c r="E80" s="10">
        <v>101.0</v>
      </c>
      <c r="F80" s="10">
        <v>0.0</v>
      </c>
      <c r="G80" s="10"/>
      <c r="H80" s="10"/>
      <c r="I80" s="10"/>
      <c r="J80" s="10"/>
      <c r="K80" s="10"/>
      <c r="L80" s="10"/>
    </row>
    <row r="81">
      <c r="A81" s="2" t="s">
        <v>113</v>
      </c>
      <c r="B81" s="10">
        <v>137.0</v>
      </c>
      <c r="C81" s="10">
        <v>4.0</v>
      </c>
      <c r="D81" s="10">
        <v>26.0</v>
      </c>
      <c r="E81" s="10">
        <v>135.0</v>
      </c>
      <c r="F81" s="10">
        <v>1.0</v>
      </c>
      <c r="G81" s="10"/>
      <c r="H81" s="10"/>
      <c r="I81" s="10"/>
      <c r="J81" s="10"/>
      <c r="K81" s="10"/>
      <c r="L81" s="10"/>
    </row>
    <row r="82">
      <c r="A82" s="2" t="s">
        <v>114</v>
      </c>
      <c r="B82" s="10">
        <v>103.0</v>
      </c>
      <c r="C82" s="10">
        <v>0.0</v>
      </c>
      <c r="D82" s="10">
        <v>16.0</v>
      </c>
      <c r="E82" s="10">
        <v>103.0</v>
      </c>
      <c r="F82" s="10">
        <v>0.0</v>
      </c>
      <c r="G82" s="10"/>
      <c r="H82" s="10"/>
      <c r="I82" s="10"/>
      <c r="J82" s="10"/>
      <c r="K82" s="10"/>
      <c r="L82" s="10"/>
    </row>
    <row r="83">
      <c r="A83" s="2" t="s">
        <v>115</v>
      </c>
      <c r="B83" s="10">
        <v>341.0</v>
      </c>
      <c r="C83" s="10">
        <v>4.0</v>
      </c>
      <c r="D83" s="10">
        <v>62.0</v>
      </c>
      <c r="E83" s="10">
        <v>339.0</v>
      </c>
      <c r="F83" s="10">
        <v>1.0</v>
      </c>
      <c r="G83" s="10"/>
      <c r="H83" s="10"/>
      <c r="I83" s="10"/>
      <c r="J83" s="10"/>
      <c r="K83" s="10"/>
      <c r="L83" s="10"/>
    </row>
    <row r="84">
      <c r="A84" s="2" t="s">
        <v>116</v>
      </c>
      <c r="B84" s="10">
        <v>86.0</v>
      </c>
      <c r="C84" s="10">
        <v>0.0</v>
      </c>
      <c r="D84" s="10">
        <v>21.0</v>
      </c>
      <c r="E84" s="10">
        <v>86.0</v>
      </c>
      <c r="F84" s="10">
        <v>0.0</v>
      </c>
      <c r="G84" s="10"/>
      <c r="H84" s="10"/>
      <c r="I84" s="10"/>
      <c r="J84" s="10"/>
      <c r="K84" s="10"/>
      <c r="L84" s="10"/>
    </row>
    <row r="85">
      <c r="A85" s="2" t="s">
        <v>117</v>
      </c>
      <c r="B85" s="10">
        <v>110.0</v>
      </c>
      <c r="C85" s="10">
        <v>1.0</v>
      </c>
      <c r="D85" s="10">
        <v>37.0</v>
      </c>
      <c r="E85" s="10">
        <v>109.0</v>
      </c>
      <c r="F85" s="10">
        <v>0.0</v>
      </c>
      <c r="G85" s="10"/>
      <c r="H85" s="10"/>
      <c r="I85" s="10"/>
      <c r="J85" s="10"/>
      <c r="K85" s="10"/>
      <c r="L85" s="10"/>
    </row>
    <row r="86">
      <c r="A86" s="2" t="s">
        <v>118</v>
      </c>
      <c r="B86" s="10">
        <v>196.0</v>
      </c>
      <c r="C86" s="10">
        <v>1.0</v>
      </c>
      <c r="D86" s="10">
        <v>58.0</v>
      </c>
      <c r="E86" s="10">
        <v>195.0</v>
      </c>
      <c r="F86" s="10">
        <v>0.0</v>
      </c>
      <c r="G86" s="10"/>
      <c r="H86" s="10"/>
      <c r="I86" s="10"/>
      <c r="J86" s="10"/>
      <c r="K86" s="10"/>
      <c r="L86" s="10"/>
    </row>
    <row r="87">
      <c r="A87" s="2" t="s">
        <v>119</v>
      </c>
      <c r="B87" s="10">
        <v>4321.0</v>
      </c>
      <c r="C87" s="10">
        <v>32.0</v>
      </c>
      <c r="D87" s="10">
        <v>1150.0</v>
      </c>
      <c r="E87" s="10">
        <v>4288.0</v>
      </c>
      <c r="F87" s="10">
        <v>4.0</v>
      </c>
      <c r="G87" s="10"/>
      <c r="H87" s="10"/>
      <c r="I87" s="10"/>
      <c r="J87" s="10"/>
      <c r="K87" s="10"/>
      <c r="L87" s="10"/>
    </row>
    <row r="88">
      <c r="A88" s="24"/>
      <c r="B88" s="24"/>
      <c r="C88" s="24"/>
      <c r="D88" s="24"/>
      <c r="E88" s="24"/>
      <c r="F88" s="24"/>
      <c r="G88" s="10"/>
      <c r="H88" s="10"/>
      <c r="I88" s="10"/>
      <c r="J88" s="10"/>
      <c r="K88" s="10"/>
      <c r="L88" s="10"/>
    </row>
    <row r="89">
      <c r="A89" s="24"/>
      <c r="B89" s="24"/>
      <c r="C89" s="24"/>
      <c r="D89" s="24"/>
      <c r="E89" s="24"/>
      <c r="F89" s="24"/>
      <c r="G89" s="10"/>
      <c r="H89" s="10"/>
      <c r="I89" s="10"/>
      <c r="J89" s="10"/>
      <c r="K89" s="10"/>
      <c r="L89" s="10"/>
    </row>
    <row r="90">
      <c r="A90" s="2" t="s">
        <v>120</v>
      </c>
      <c r="G90" s="10"/>
      <c r="H90" s="10"/>
      <c r="I90" s="10"/>
      <c r="J90" s="10"/>
      <c r="K90" s="10"/>
      <c r="L90" s="10"/>
    </row>
    <row r="91">
      <c r="A91" s="2" t="s">
        <v>132</v>
      </c>
      <c r="G91" s="10"/>
      <c r="H91" s="10"/>
      <c r="I91" s="10"/>
      <c r="J91" s="10"/>
      <c r="K91" s="10"/>
      <c r="L91" s="10"/>
    </row>
    <row r="92">
      <c r="A92" s="2" t="s">
        <v>133</v>
      </c>
      <c r="G92" s="10"/>
      <c r="H92" s="10"/>
      <c r="I92" s="10"/>
      <c r="J92" s="10"/>
      <c r="K92" s="10"/>
      <c r="L92" s="10"/>
    </row>
    <row r="93">
      <c r="A93" s="2" t="s">
        <v>134</v>
      </c>
      <c r="G93" s="10"/>
      <c r="H93" s="10"/>
      <c r="I93" s="10"/>
      <c r="J93" s="10"/>
      <c r="K93" s="10"/>
      <c r="L93" s="10"/>
    </row>
    <row r="94">
      <c r="A94" s="2" t="s">
        <v>135</v>
      </c>
      <c r="G94" s="10"/>
      <c r="H94" s="10"/>
      <c r="I94" s="10"/>
      <c r="J94" s="10"/>
      <c r="K94" s="10"/>
      <c r="L94" s="10"/>
    </row>
    <row r="95">
      <c r="A95" s="2"/>
      <c r="G95" s="5"/>
      <c r="H95" s="5"/>
      <c r="I95" s="5"/>
      <c r="J95" s="5"/>
      <c r="K95" s="5"/>
      <c r="L95" s="5"/>
    </row>
    <row r="96">
      <c r="A96" s="2"/>
      <c r="G96" s="5"/>
      <c r="H96" s="5"/>
      <c r="I96" s="5"/>
      <c r="J96" s="5"/>
      <c r="K96" s="5"/>
      <c r="L96" s="5"/>
    </row>
    <row r="97">
      <c r="A97" s="2"/>
      <c r="G97" s="2"/>
      <c r="H97" s="2"/>
      <c r="I97" s="2"/>
      <c r="J97" s="5"/>
      <c r="K97" s="5"/>
      <c r="L97" s="5"/>
    </row>
    <row r="98">
      <c r="A98" s="2"/>
      <c r="G98" s="2"/>
      <c r="H98" s="2"/>
      <c r="I98" s="2"/>
      <c r="J98" s="2"/>
      <c r="K98" s="2"/>
      <c r="L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  <c r="K105" s="5"/>
      <c r="L105" s="5"/>
    </row>
    <row r="106">
      <c r="A106" s="2"/>
      <c r="L106" s="5"/>
    </row>
    <row r="107">
      <c r="A107" s="2"/>
      <c r="L107" s="5"/>
    </row>
  </sheetData>
  <mergeCells count="23">
    <mergeCell ref="A1:C1"/>
    <mergeCell ref="A2:B2"/>
    <mergeCell ref="A3:C3"/>
    <mergeCell ref="A5:F5"/>
    <mergeCell ref="A6:C6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106:K106"/>
    <mergeCell ref="A107:K107"/>
    <mergeCell ref="A99:L99"/>
    <mergeCell ref="A100:L100"/>
    <mergeCell ref="A101:L101"/>
    <mergeCell ref="A102:L102"/>
    <mergeCell ref="A103:L103"/>
    <mergeCell ref="A104:L104"/>
    <mergeCell ref="A105:J10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D1" s="5"/>
      <c r="E1" s="5"/>
      <c r="F1" s="5"/>
    </row>
    <row r="2">
      <c r="A2" s="2" t="s">
        <v>3</v>
      </c>
      <c r="C2" s="5"/>
      <c r="D2" s="5"/>
      <c r="E2" s="5"/>
      <c r="F2" s="5"/>
    </row>
    <row r="3">
      <c r="A3" s="2" t="s">
        <v>5</v>
      </c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 t="s">
        <v>6</v>
      </c>
    </row>
    <row r="6">
      <c r="A6" s="2" t="s">
        <v>143</v>
      </c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>
      <c r="A9" s="2" t="s">
        <v>16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</row>
    <row r="10">
      <c r="A10" s="2" t="s">
        <v>15</v>
      </c>
      <c r="B10" s="10">
        <v>20.0</v>
      </c>
      <c r="C10" s="10">
        <v>0.0</v>
      </c>
      <c r="D10" s="10">
        <v>10.0</v>
      </c>
      <c r="E10" s="10">
        <v>20.0</v>
      </c>
      <c r="F10" s="10">
        <v>0.0</v>
      </c>
    </row>
    <row r="11">
      <c r="A11" s="2" t="s">
        <v>17</v>
      </c>
      <c r="B11" s="10">
        <v>2.0</v>
      </c>
      <c r="C11" s="10">
        <v>0.0</v>
      </c>
      <c r="D11" s="10">
        <v>0.0</v>
      </c>
      <c r="E11" s="10">
        <v>2.0</v>
      </c>
      <c r="F11" s="10">
        <v>0.0</v>
      </c>
    </row>
    <row r="12">
      <c r="A12" s="2" t="s">
        <v>18</v>
      </c>
      <c r="B12" s="10">
        <v>65.0</v>
      </c>
      <c r="C12" s="10">
        <v>0.0</v>
      </c>
      <c r="D12" s="10">
        <v>5.0</v>
      </c>
      <c r="E12" s="10">
        <v>65.0</v>
      </c>
      <c r="F12" s="10">
        <v>0.0</v>
      </c>
    </row>
    <row r="13">
      <c r="A13" s="2" t="s">
        <v>19</v>
      </c>
      <c r="B13" s="10">
        <v>87.0</v>
      </c>
      <c r="C13" s="10">
        <v>0.0</v>
      </c>
      <c r="D13" s="10">
        <v>15.0</v>
      </c>
      <c r="E13" s="10">
        <v>87.0</v>
      </c>
      <c r="F13" s="10">
        <v>0.0</v>
      </c>
    </row>
    <row r="14">
      <c r="A14" s="2" t="s">
        <v>24</v>
      </c>
      <c r="B14" s="10">
        <v>78.0</v>
      </c>
      <c r="C14" s="10">
        <v>0.0</v>
      </c>
      <c r="D14" s="10">
        <v>16.0</v>
      </c>
      <c r="E14" s="10">
        <v>78.0</v>
      </c>
      <c r="F14" s="10">
        <v>0.0</v>
      </c>
    </row>
    <row r="15">
      <c r="A15" s="2" t="s">
        <v>25</v>
      </c>
      <c r="B15" s="10">
        <v>53.0</v>
      </c>
      <c r="C15" s="10">
        <v>0.0</v>
      </c>
      <c r="D15" s="10">
        <v>8.0</v>
      </c>
      <c r="E15" s="10">
        <v>53.0</v>
      </c>
      <c r="F15" s="10">
        <v>0.0</v>
      </c>
    </row>
    <row r="16">
      <c r="A16" s="2" t="s">
        <v>26</v>
      </c>
      <c r="B16" s="10">
        <v>66.0</v>
      </c>
      <c r="C16" s="10">
        <v>0.0</v>
      </c>
      <c r="D16" s="10">
        <v>17.0</v>
      </c>
      <c r="E16" s="10">
        <v>66.0</v>
      </c>
      <c r="F16" s="10">
        <v>0.0</v>
      </c>
    </row>
    <row r="17">
      <c r="A17" s="2" t="s">
        <v>27</v>
      </c>
      <c r="B17" s="10">
        <v>54.0</v>
      </c>
      <c r="C17" s="10">
        <v>0.0</v>
      </c>
      <c r="D17" s="10">
        <v>10.0</v>
      </c>
      <c r="E17" s="10">
        <v>54.0</v>
      </c>
      <c r="F17" s="10">
        <v>0.0</v>
      </c>
    </row>
    <row r="18">
      <c r="A18" s="2" t="s">
        <v>18</v>
      </c>
      <c r="B18" s="10">
        <v>64.0</v>
      </c>
      <c r="C18" s="10">
        <v>0.0</v>
      </c>
      <c r="D18" s="10">
        <v>11.0</v>
      </c>
      <c r="E18" s="10">
        <v>64.0</v>
      </c>
      <c r="F18" s="10">
        <v>0.0</v>
      </c>
    </row>
    <row r="19">
      <c r="A19" s="2" t="s">
        <v>28</v>
      </c>
      <c r="B19" s="10">
        <v>141.0</v>
      </c>
      <c r="C19" s="10">
        <v>0.0</v>
      </c>
      <c r="D19" s="10">
        <v>49.0</v>
      </c>
      <c r="E19" s="10">
        <v>141.0</v>
      </c>
      <c r="F19" s="10">
        <v>0.0</v>
      </c>
    </row>
    <row r="20">
      <c r="A20" s="2" t="s">
        <v>29</v>
      </c>
      <c r="B20" s="10">
        <v>83.0</v>
      </c>
      <c r="C20" s="10">
        <v>1.0</v>
      </c>
      <c r="D20" s="10">
        <v>29.0</v>
      </c>
      <c r="E20" s="10">
        <v>82.0</v>
      </c>
      <c r="F20" s="10">
        <v>0.0</v>
      </c>
    </row>
    <row r="21">
      <c r="A21" s="2" t="s">
        <v>31</v>
      </c>
      <c r="B21" s="10">
        <v>539.0</v>
      </c>
      <c r="C21" s="10">
        <v>1.0</v>
      </c>
      <c r="D21" s="10">
        <v>140.0</v>
      </c>
      <c r="E21" s="10">
        <v>538.0</v>
      </c>
      <c r="F21" s="10">
        <v>0.0</v>
      </c>
    </row>
    <row r="22">
      <c r="A22" s="2" t="s">
        <v>32</v>
      </c>
      <c r="B22" s="10">
        <v>97.0</v>
      </c>
      <c r="C22" s="10">
        <v>3.0</v>
      </c>
      <c r="D22" s="10">
        <v>29.0</v>
      </c>
      <c r="E22" s="10">
        <v>94.0</v>
      </c>
      <c r="F22" s="10">
        <v>0.0</v>
      </c>
    </row>
    <row r="23">
      <c r="A23" s="2" t="s">
        <v>33</v>
      </c>
      <c r="B23" s="10">
        <v>84.0</v>
      </c>
      <c r="C23" s="10">
        <v>0.0</v>
      </c>
      <c r="D23" s="10">
        <v>19.0</v>
      </c>
      <c r="E23" s="10">
        <v>84.0</v>
      </c>
      <c r="F23" s="10">
        <v>0.0</v>
      </c>
    </row>
    <row r="24">
      <c r="A24" s="2" t="s">
        <v>34</v>
      </c>
      <c r="B24" s="10">
        <v>80.0</v>
      </c>
      <c r="C24" s="10">
        <v>1.0</v>
      </c>
      <c r="D24" s="10">
        <v>25.0</v>
      </c>
      <c r="E24" s="10">
        <v>79.0</v>
      </c>
      <c r="F24" s="10">
        <v>0.0</v>
      </c>
    </row>
    <row r="25">
      <c r="A25" s="2" t="s">
        <v>36</v>
      </c>
      <c r="B25" s="10">
        <v>82.0</v>
      </c>
      <c r="C25" s="10">
        <v>1.0</v>
      </c>
      <c r="D25" s="10">
        <v>33.0</v>
      </c>
      <c r="E25" s="10">
        <v>81.0</v>
      </c>
      <c r="F25" s="10">
        <v>0.0</v>
      </c>
    </row>
    <row r="26">
      <c r="A26" s="2" t="s">
        <v>37</v>
      </c>
      <c r="B26" s="10">
        <v>343.0</v>
      </c>
      <c r="C26" s="10">
        <v>5.0</v>
      </c>
      <c r="D26" s="10">
        <v>106.0</v>
      </c>
      <c r="E26" s="10">
        <v>338.0</v>
      </c>
      <c r="F26" s="10">
        <v>0.0</v>
      </c>
    </row>
    <row r="27">
      <c r="A27" s="2" t="s">
        <v>40</v>
      </c>
      <c r="B27" s="10">
        <v>168.0</v>
      </c>
      <c r="C27" s="10">
        <v>0.0</v>
      </c>
      <c r="D27" s="10">
        <v>48.0</v>
      </c>
      <c r="E27" s="10">
        <v>168.0</v>
      </c>
      <c r="F27" s="10">
        <v>0.0</v>
      </c>
    </row>
    <row r="28">
      <c r="A28" s="2" t="s">
        <v>44</v>
      </c>
      <c r="B28" s="10">
        <v>175.0</v>
      </c>
      <c r="C28" s="10">
        <v>1.0</v>
      </c>
      <c r="D28" s="10">
        <v>61.0</v>
      </c>
      <c r="E28" s="10">
        <v>174.0</v>
      </c>
      <c r="F28" s="10">
        <v>1.0</v>
      </c>
    </row>
    <row r="29">
      <c r="A29" s="2" t="s">
        <v>48</v>
      </c>
      <c r="B29" s="10">
        <v>113.0</v>
      </c>
      <c r="C29" s="10">
        <v>2.0</v>
      </c>
      <c r="D29" s="10">
        <v>33.0</v>
      </c>
      <c r="E29" s="10">
        <v>112.0</v>
      </c>
      <c r="F29" s="10">
        <v>1.0</v>
      </c>
    </row>
    <row r="30">
      <c r="A30" s="2" t="s">
        <v>52</v>
      </c>
      <c r="B30" s="10">
        <v>456.0</v>
      </c>
      <c r="C30" s="10">
        <v>3.0</v>
      </c>
      <c r="D30" s="10">
        <v>142.0</v>
      </c>
      <c r="E30" s="10">
        <v>454.0</v>
      </c>
      <c r="F30" s="10">
        <v>2.0</v>
      </c>
    </row>
    <row r="31">
      <c r="A31" s="2" t="s">
        <v>54</v>
      </c>
      <c r="B31" s="10">
        <v>101.0</v>
      </c>
      <c r="C31" s="10">
        <v>1.0</v>
      </c>
      <c r="D31" s="10">
        <v>18.0</v>
      </c>
      <c r="E31" s="10">
        <v>100.0</v>
      </c>
      <c r="F31" s="10">
        <v>0.0</v>
      </c>
    </row>
    <row r="32">
      <c r="A32" s="2" t="s">
        <v>58</v>
      </c>
      <c r="B32" s="10">
        <v>61.0</v>
      </c>
      <c r="C32" s="10">
        <v>1.0</v>
      </c>
      <c r="D32" s="10">
        <v>11.0</v>
      </c>
      <c r="E32" s="10">
        <v>61.0</v>
      </c>
      <c r="F32" s="10">
        <v>1.0</v>
      </c>
    </row>
    <row r="33">
      <c r="A33" s="2" t="s">
        <v>60</v>
      </c>
      <c r="B33" s="10">
        <v>162.0</v>
      </c>
      <c r="C33" s="10">
        <v>2.0</v>
      </c>
      <c r="D33" s="10">
        <v>29.0</v>
      </c>
      <c r="E33" s="10">
        <v>161.0</v>
      </c>
      <c r="F33" s="10">
        <v>1.0</v>
      </c>
    </row>
    <row r="34">
      <c r="A34" s="2" t="s">
        <v>61</v>
      </c>
      <c r="B34" s="10">
        <v>69.0</v>
      </c>
      <c r="C34" s="10">
        <v>0.0</v>
      </c>
      <c r="D34" s="10">
        <v>4.0</v>
      </c>
      <c r="E34" s="10">
        <v>69.0</v>
      </c>
      <c r="F34" s="10">
        <v>0.0</v>
      </c>
    </row>
    <row r="35">
      <c r="A35" s="2" t="s">
        <v>62</v>
      </c>
      <c r="B35" s="10">
        <v>36.0</v>
      </c>
      <c r="C35" s="10">
        <v>0.0</v>
      </c>
      <c r="D35" s="10">
        <v>4.0</v>
      </c>
      <c r="E35" s="10">
        <v>36.0</v>
      </c>
      <c r="F35" s="10">
        <v>0.0</v>
      </c>
    </row>
    <row r="36">
      <c r="A36" s="2" t="s">
        <v>63</v>
      </c>
      <c r="B36" s="10">
        <v>53.0</v>
      </c>
      <c r="C36" s="10">
        <v>0.0</v>
      </c>
      <c r="D36" s="10">
        <v>8.0</v>
      </c>
      <c r="E36" s="10">
        <v>52.0</v>
      </c>
      <c r="F36" s="10">
        <v>0.0</v>
      </c>
    </row>
    <row r="37">
      <c r="A37" s="2" t="s">
        <v>64</v>
      </c>
      <c r="B37" s="10">
        <v>55.0</v>
      </c>
      <c r="C37" s="10">
        <v>0.0</v>
      </c>
      <c r="D37" s="10">
        <v>5.0</v>
      </c>
      <c r="E37" s="10">
        <v>54.0</v>
      </c>
      <c r="F37" s="10">
        <v>0.0</v>
      </c>
    </row>
    <row r="38">
      <c r="A38" s="2" t="s">
        <v>65</v>
      </c>
      <c r="B38" s="10">
        <v>33.0</v>
      </c>
      <c r="C38" s="10">
        <v>0.0</v>
      </c>
      <c r="D38" s="10">
        <v>2.0</v>
      </c>
      <c r="E38" s="10">
        <v>33.0</v>
      </c>
      <c r="F38" s="10">
        <v>0.0</v>
      </c>
    </row>
    <row r="39">
      <c r="A39" s="2" t="s">
        <v>66</v>
      </c>
      <c r="B39" s="10">
        <v>11.0</v>
      </c>
      <c r="C39" s="10">
        <v>0.0</v>
      </c>
      <c r="D39" s="10">
        <v>3.0</v>
      </c>
      <c r="E39" s="10">
        <v>11.0</v>
      </c>
      <c r="F39" s="10">
        <v>0.0</v>
      </c>
    </row>
    <row r="40">
      <c r="A40" s="2" t="s">
        <v>67</v>
      </c>
      <c r="B40" s="10">
        <v>11.0</v>
      </c>
      <c r="C40" s="10">
        <v>0.0</v>
      </c>
      <c r="D40" s="10">
        <v>0.0</v>
      </c>
      <c r="E40" s="10">
        <v>10.0</v>
      </c>
      <c r="F40" s="10">
        <v>0.0</v>
      </c>
    </row>
    <row r="41">
      <c r="A41" s="2" t="s">
        <v>68</v>
      </c>
      <c r="B41" s="10">
        <v>38.0</v>
      </c>
      <c r="C41" s="10">
        <v>0.0</v>
      </c>
      <c r="D41" s="10">
        <v>6.0</v>
      </c>
      <c r="E41" s="10">
        <v>38.0</v>
      </c>
      <c r="F41" s="10">
        <v>0.0</v>
      </c>
    </row>
    <row r="42">
      <c r="A42" s="2" t="s">
        <v>69</v>
      </c>
      <c r="B42" s="10">
        <v>32.0</v>
      </c>
      <c r="C42" s="10">
        <v>1.0</v>
      </c>
      <c r="D42" s="10">
        <v>8.0</v>
      </c>
      <c r="E42" s="10">
        <v>32.0</v>
      </c>
      <c r="F42" s="10">
        <v>1.0</v>
      </c>
    </row>
    <row r="43">
      <c r="A43" s="2" t="s">
        <v>70</v>
      </c>
      <c r="B43" s="10">
        <v>32.0</v>
      </c>
      <c r="C43" s="10">
        <v>0.0</v>
      </c>
      <c r="D43" s="10">
        <v>3.0</v>
      </c>
      <c r="E43" s="10">
        <v>32.0</v>
      </c>
      <c r="F43" s="10">
        <v>0.0</v>
      </c>
    </row>
    <row r="44">
      <c r="A44" s="2" t="s">
        <v>71</v>
      </c>
      <c r="B44" s="10">
        <v>69.0</v>
      </c>
      <c r="C44" s="10">
        <v>0.0</v>
      </c>
      <c r="D44" s="10">
        <v>15.0</v>
      </c>
      <c r="E44" s="10">
        <v>69.0</v>
      </c>
      <c r="F44" s="10">
        <v>0.0</v>
      </c>
    </row>
    <row r="45">
      <c r="A45" s="2" t="s">
        <v>72</v>
      </c>
      <c r="B45" s="10">
        <v>144.0</v>
      </c>
      <c r="C45" s="10">
        <v>0.0</v>
      </c>
      <c r="D45" s="10">
        <v>23.0</v>
      </c>
      <c r="E45" s="10">
        <v>144.0</v>
      </c>
      <c r="F45" s="10">
        <v>0.0</v>
      </c>
    </row>
    <row r="46">
      <c r="A46" s="2" t="s">
        <v>73</v>
      </c>
      <c r="B46" s="10">
        <v>25.0</v>
      </c>
      <c r="C46" s="10">
        <v>0.0</v>
      </c>
      <c r="D46" s="10">
        <v>1.0</v>
      </c>
      <c r="E46" s="10">
        <v>25.0</v>
      </c>
      <c r="F46" s="10">
        <v>0.0</v>
      </c>
    </row>
    <row r="47">
      <c r="A47" s="2" t="s">
        <v>74</v>
      </c>
      <c r="B47" s="10">
        <v>8.0</v>
      </c>
      <c r="C47" s="10">
        <v>0.0</v>
      </c>
      <c r="D47" s="10">
        <v>0.0</v>
      </c>
      <c r="E47" s="10">
        <v>8.0</v>
      </c>
      <c r="F47" s="10">
        <v>0.0</v>
      </c>
    </row>
    <row r="48">
      <c r="A48" s="2" t="s">
        <v>75</v>
      </c>
      <c r="B48" s="10">
        <v>10.0</v>
      </c>
      <c r="C48" s="10">
        <v>0.0</v>
      </c>
      <c r="D48" s="10">
        <v>1.0</v>
      </c>
      <c r="E48" s="10">
        <v>10.0</v>
      </c>
      <c r="F48" s="10">
        <v>0.0</v>
      </c>
    </row>
    <row r="49">
      <c r="A49" s="2" t="s">
        <v>76</v>
      </c>
      <c r="B49" s="10">
        <v>7.0</v>
      </c>
      <c r="C49" s="10">
        <v>0.0</v>
      </c>
      <c r="D49" s="10">
        <v>0.0</v>
      </c>
      <c r="E49" s="10">
        <v>7.0</v>
      </c>
      <c r="F49" s="10">
        <v>0.0</v>
      </c>
    </row>
    <row r="50">
      <c r="A50" s="2" t="s">
        <v>77</v>
      </c>
      <c r="B50" s="10">
        <v>192.0</v>
      </c>
      <c r="C50" s="10">
        <v>0.0</v>
      </c>
      <c r="D50" s="10">
        <v>39.0</v>
      </c>
      <c r="E50" s="10">
        <v>192.0</v>
      </c>
      <c r="F50" s="10">
        <v>2.0</v>
      </c>
    </row>
    <row r="51">
      <c r="A51" s="2" t="s">
        <v>78</v>
      </c>
      <c r="B51" s="10">
        <v>64.0</v>
      </c>
      <c r="C51" s="10">
        <v>0.0</v>
      </c>
      <c r="D51" s="10">
        <v>8.0</v>
      </c>
      <c r="E51" s="10">
        <v>64.0</v>
      </c>
      <c r="F51" s="10">
        <v>0.0</v>
      </c>
    </row>
    <row r="52">
      <c r="A52" s="2" t="s">
        <v>79</v>
      </c>
      <c r="B52" s="10">
        <v>60.0</v>
      </c>
      <c r="C52" s="10">
        <v>0.0</v>
      </c>
      <c r="D52" s="10">
        <v>6.0</v>
      </c>
      <c r="E52" s="10">
        <v>60.0</v>
      </c>
      <c r="F52" s="10">
        <v>0.0</v>
      </c>
    </row>
    <row r="53">
      <c r="A53" s="2" t="s">
        <v>80</v>
      </c>
      <c r="B53" s="10">
        <v>44.0</v>
      </c>
      <c r="C53" s="10">
        <v>0.0</v>
      </c>
      <c r="D53" s="10">
        <v>5.0</v>
      </c>
      <c r="E53" s="10">
        <v>44.0</v>
      </c>
      <c r="F53" s="10">
        <v>0.0</v>
      </c>
    </row>
    <row r="54">
      <c r="A54" s="2" t="s">
        <v>81</v>
      </c>
      <c r="B54" s="10">
        <v>12.0</v>
      </c>
      <c r="C54" s="10">
        <v>0.0</v>
      </c>
      <c r="D54" s="10">
        <v>1.0</v>
      </c>
      <c r="E54" s="10">
        <v>12.0</v>
      </c>
      <c r="F54" s="10">
        <v>0.0</v>
      </c>
    </row>
    <row r="55">
      <c r="A55" s="2" t="s">
        <v>82</v>
      </c>
      <c r="B55" s="10">
        <v>4.0</v>
      </c>
      <c r="C55" s="10">
        <v>0.0</v>
      </c>
      <c r="D55" s="10">
        <v>0.0</v>
      </c>
      <c r="E55" s="10">
        <v>4.0</v>
      </c>
      <c r="F55" s="10">
        <v>0.0</v>
      </c>
    </row>
    <row r="56">
      <c r="A56" s="2" t="s">
        <v>83</v>
      </c>
      <c r="B56" s="10">
        <v>66.0</v>
      </c>
      <c r="C56" s="10">
        <v>1.0</v>
      </c>
      <c r="D56" s="10">
        <v>13.0</v>
      </c>
      <c r="E56" s="10">
        <v>66.0</v>
      </c>
      <c r="F56" s="10">
        <v>0.0</v>
      </c>
    </row>
    <row r="57">
      <c r="A57" s="2" t="s">
        <v>84</v>
      </c>
      <c r="B57" s="10">
        <v>935.0</v>
      </c>
      <c r="C57" s="10">
        <v>2.0</v>
      </c>
      <c r="D57" s="10">
        <v>143.0</v>
      </c>
      <c r="E57" s="10">
        <v>933.0</v>
      </c>
      <c r="F57" s="10">
        <v>3.0</v>
      </c>
    </row>
    <row r="58">
      <c r="A58" s="2" t="s">
        <v>85</v>
      </c>
      <c r="B58" s="10">
        <v>28.0</v>
      </c>
      <c r="C58" s="10">
        <v>0.0</v>
      </c>
      <c r="D58" s="10">
        <v>5.0</v>
      </c>
      <c r="E58" s="10">
        <v>28.0</v>
      </c>
      <c r="F58" s="10">
        <v>0.0</v>
      </c>
    </row>
    <row r="59">
      <c r="A59" s="2" t="s">
        <v>86</v>
      </c>
      <c r="B59" s="10">
        <v>117.0</v>
      </c>
      <c r="C59" s="10">
        <v>2.0</v>
      </c>
      <c r="D59" s="10">
        <v>78.0</v>
      </c>
      <c r="E59" s="10">
        <v>115.0</v>
      </c>
      <c r="F59" s="10">
        <v>0.0</v>
      </c>
    </row>
    <row r="60">
      <c r="A60" s="2" t="s">
        <v>87</v>
      </c>
      <c r="B60" s="10">
        <v>74.0</v>
      </c>
      <c r="C60" s="10">
        <v>0.0</v>
      </c>
      <c r="D60" s="10">
        <v>47.0</v>
      </c>
      <c r="E60" s="10">
        <v>74.0</v>
      </c>
      <c r="F60" s="10">
        <v>0.0</v>
      </c>
    </row>
    <row r="61">
      <c r="A61" s="2" t="s">
        <v>88</v>
      </c>
      <c r="B61" s="10">
        <v>14.0</v>
      </c>
      <c r="C61" s="10">
        <v>1.0</v>
      </c>
      <c r="D61" s="10">
        <v>14.0</v>
      </c>
      <c r="E61" s="10">
        <v>13.0</v>
      </c>
      <c r="F61" s="10">
        <v>0.0</v>
      </c>
    </row>
    <row r="62">
      <c r="A62" s="2" t="s">
        <v>89</v>
      </c>
      <c r="B62" s="10">
        <v>29.0</v>
      </c>
      <c r="C62" s="10">
        <v>1.0</v>
      </c>
      <c r="D62" s="10">
        <v>17.0</v>
      </c>
      <c r="E62" s="10">
        <v>28.0</v>
      </c>
      <c r="F62" s="10">
        <v>0.0</v>
      </c>
    </row>
    <row r="63">
      <c r="A63" s="2" t="s">
        <v>90</v>
      </c>
      <c r="B63" s="10">
        <v>72.0</v>
      </c>
      <c r="C63" s="10">
        <v>0.0</v>
      </c>
      <c r="D63" s="10">
        <v>38.0</v>
      </c>
      <c r="E63" s="10">
        <v>72.0</v>
      </c>
      <c r="F63" s="10">
        <v>0.0</v>
      </c>
    </row>
    <row r="64">
      <c r="A64" s="2" t="s">
        <v>91</v>
      </c>
      <c r="B64" s="10">
        <v>74.0</v>
      </c>
      <c r="C64" s="10">
        <v>1.0</v>
      </c>
      <c r="D64" s="10">
        <v>21.0</v>
      </c>
      <c r="E64" s="10">
        <v>73.0</v>
      </c>
      <c r="F64" s="10">
        <v>0.0</v>
      </c>
    </row>
    <row r="65">
      <c r="A65" s="2" t="s">
        <v>92</v>
      </c>
      <c r="B65" s="10">
        <v>74.0</v>
      </c>
      <c r="C65" s="10">
        <v>0.0</v>
      </c>
      <c r="D65" s="10">
        <v>23.0</v>
      </c>
      <c r="E65" s="10">
        <v>74.0</v>
      </c>
      <c r="F65" s="10">
        <v>0.0</v>
      </c>
    </row>
    <row r="66">
      <c r="A66" s="2" t="s">
        <v>93</v>
      </c>
      <c r="B66" s="10">
        <v>113.0</v>
      </c>
      <c r="C66" s="10">
        <v>0.0</v>
      </c>
      <c r="D66" s="10">
        <v>20.0</v>
      </c>
      <c r="E66" s="10">
        <v>113.0</v>
      </c>
      <c r="F66" s="10">
        <v>0.0</v>
      </c>
    </row>
    <row r="67">
      <c r="A67" s="2" t="s">
        <v>94</v>
      </c>
      <c r="B67" s="10">
        <v>52.0</v>
      </c>
      <c r="C67" s="10">
        <v>0.0</v>
      </c>
      <c r="D67" s="10">
        <v>31.0</v>
      </c>
      <c r="E67" s="10">
        <v>51.0</v>
      </c>
      <c r="F67" s="10">
        <v>0.0</v>
      </c>
    </row>
    <row r="68">
      <c r="A68" s="2" t="s">
        <v>95</v>
      </c>
      <c r="B68" s="10">
        <v>30.0</v>
      </c>
      <c r="C68" s="10">
        <v>0.0</v>
      </c>
      <c r="D68" s="10">
        <v>20.0</v>
      </c>
      <c r="E68" s="10">
        <v>29.0</v>
      </c>
      <c r="F68" s="10">
        <v>0.0</v>
      </c>
    </row>
    <row r="69">
      <c r="A69" s="2" t="s">
        <v>96</v>
      </c>
      <c r="B69" s="10">
        <v>10.0</v>
      </c>
      <c r="C69" s="10">
        <v>0.0</v>
      </c>
      <c r="D69" s="10">
        <v>6.0</v>
      </c>
      <c r="E69" s="10">
        <v>10.0</v>
      </c>
      <c r="F69" s="10">
        <v>0.0</v>
      </c>
    </row>
    <row r="70">
      <c r="A70" s="2" t="s">
        <v>97</v>
      </c>
      <c r="B70" s="10">
        <v>12.0</v>
      </c>
      <c r="C70" s="10">
        <v>0.0</v>
      </c>
      <c r="D70" s="10">
        <v>5.0</v>
      </c>
      <c r="E70" s="10">
        <v>12.0</v>
      </c>
      <c r="F70" s="10">
        <v>0.0</v>
      </c>
    </row>
    <row r="71">
      <c r="A71" s="2" t="s">
        <v>98</v>
      </c>
      <c r="B71" s="10">
        <v>75.0</v>
      </c>
      <c r="C71" s="10">
        <v>0.0</v>
      </c>
      <c r="D71" s="10">
        <v>39.0</v>
      </c>
      <c r="E71" s="10">
        <v>74.0</v>
      </c>
      <c r="F71" s="10">
        <v>0.0</v>
      </c>
    </row>
    <row r="72">
      <c r="A72" s="2" t="s">
        <v>99</v>
      </c>
      <c r="B72" s="10">
        <v>95.0</v>
      </c>
      <c r="C72" s="10">
        <v>1.0</v>
      </c>
      <c r="D72" s="10">
        <v>14.0</v>
      </c>
      <c r="E72" s="10">
        <v>94.0</v>
      </c>
      <c r="F72" s="10">
        <v>0.0</v>
      </c>
    </row>
    <row r="73">
      <c r="A73" s="2" t="s">
        <v>100</v>
      </c>
      <c r="B73" s="10">
        <v>700.0</v>
      </c>
      <c r="C73" s="10">
        <v>4.0</v>
      </c>
      <c r="D73" s="10">
        <v>269.0</v>
      </c>
      <c r="E73" s="10">
        <v>694.0</v>
      </c>
      <c r="F73" s="10">
        <v>0.0</v>
      </c>
    </row>
    <row r="74">
      <c r="A74" s="2" t="s">
        <v>101</v>
      </c>
      <c r="B74" s="10">
        <v>28.0</v>
      </c>
      <c r="C74" s="10">
        <v>1.0</v>
      </c>
      <c r="D74" s="10">
        <v>9.0</v>
      </c>
      <c r="E74" s="10">
        <v>27.0</v>
      </c>
      <c r="F74" s="10">
        <v>0.0</v>
      </c>
    </row>
    <row r="75">
      <c r="A75" s="2" t="s">
        <v>102</v>
      </c>
      <c r="B75" s="10">
        <v>128.0</v>
      </c>
      <c r="C75" s="10">
        <v>1.0</v>
      </c>
      <c r="D75" s="10">
        <v>28.0</v>
      </c>
      <c r="E75" s="10">
        <v>127.0</v>
      </c>
      <c r="F75" s="10">
        <v>0.0</v>
      </c>
    </row>
    <row r="76">
      <c r="A76" s="2" t="s">
        <v>103</v>
      </c>
      <c r="B76" s="10">
        <v>99.0</v>
      </c>
      <c r="C76" s="10">
        <v>1.0</v>
      </c>
      <c r="D76" s="10">
        <v>21.0</v>
      </c>
      <c r="E76" s="10">
        <v>97.0</v>
      </c>
      <c r="F76" s="10">
        <v>0.0</v>
      </c>
    </row>
    <row r="77">
      <c r="A77" s="2" t="s">
        <v>104</v>
      </c>
      <c r="B77" s="10">
        <v>87.0</v>
      </c>
      <c r="C77" s="10">
        <v>2.0</v>
      </c>
      <c r="D77" s="10">
        <v>18.0</v>
      </c>
      <c r="E77" s="10">
        <v>86.0</v>
      </c>
      <c r="F77" s="10">
        <v>1.0</v>
      </c>
    </row>
    <row r="78">
      <c r="A78" s="2" t="s">
        <v>105</v>
      </c>
      <c r="B78" s="10">
        <v>87.0</v>
      </c>
      <c r="C78" s="10">
        <v>1.0</v>
      </c>
      <c r="D78" s="10">
        <v>18.0</v>
      </c>
      <c r="E78" s="10">
        <v>86.0</v>
      </c>
      <c r="F78" s="10">
        <v>0.0</v>
      </c>
    </row>
    <row r="79">
      <c r="A79" s="2" t="s">
        <v>106</v>
      </c>
      <c r="B79" s="10">
        <v>71.0</v>
      </c>
      <c r="C79" s="10">
        <v>1.0</v>
      </c>
      <c r="D79" s="10">
        <v>10.0</v>
      </c>
      <c r="E79" s="10">
        <v>70.0</v>
      </c>
      <c r="F79" s="10">
        <v>0.0</v>
      </c>
    </row>
    <row r="80">
      <c r="A80" s="2" t="s">
        <v>107</v>
      </c>
      <c r="B80" s="10">
        <v>61.0</v>
      </c>
      <c r="C80" s="10">
        <v>2.0</v>
      </c>
      <c r="D80" s="10">
        <v>22.0</v>
      </c>
      <c r="E80" s="10">
        <v>60.0</v>
      </c>
      <c r="F80" s="10">
        <v>1.0</v>
      </c>
    </row>
    <row r="81">
      <c r="A81" s="2" t="s">
        <v>108</v>
      </c>
      <c r="B81" s="10">
        <v>37.0</v>
      </c>
      <c r="C81" s="10">
        <v>5.0</v>
      </c>
      <c r="D81" s="10">
        <v>13.0</v>
      </c>
      <c r="E81" s="10">
        <v>34.0</v>
      </c>
      <c r="F81" s="10">
        <v>2.0</v>
      </c>
    </row>
    <row r="82">
      <c r="A82" s="2" t="s">
        <v>109</v>
      </c>
      <c r="B82" s="10">
        <v>71.0</v>
      </c>
      <c r="C82" s="10">
        <v>4.0</v>
      </c>
      <c r="D82" s="10">
        <v>19.0</v>
      </c>
      <c r="E82" s="10">
        <v>69.0</v>
      </c>
      <c r="F82" s="10">
        <v>2.0</v>
      </c>
    </row>
    <row r="83">
      <c r="A83" s="2" t="s">
        <v>110</v>
      </c>
      <c r="B83" s="10">
        <v>35.0</v>
      </c>
      <c r="C83" s="10">
        <v>2.0</v>
      </c>
      <c r="D83" s="10">
        <v>5.0</v>
      </c>
      <c r="E83" s="10">
        <v>33.0</v>
      </c>
      <c r="F83" s="10">
        <v>0.0</v>
      </c>
    </row>
    <row r="84">
      <c r="A84" s="2" t="s">
        <v>111</v>
      </c>
      <c r="B84" s="10">
        <v>704.0</v>
      </c>
      <c r="C84" s="10">
        <v>20.0</v>
      </c>
      <c r="D84" s="10">
        <v>163.0</v>
      </c>
      <c r="E84" s="10">
        <v>689.0</v>
      </c>
      <c r="F84" s="10">
        <v>6.0</v>
      </c>
    </row>
    <row r="85">
      <c r="A85" s="2" t="s">
        <v>112</v>
      </c>
      <c r="B85" s="10">
        <v>106.0</v>
      </c>
      <c r="C85" s="10">
        <v>0.0</v>
      </c>
      <c r="D85" s="10">
        <v>29.0</v>
      </c>
      <c r="E85" s="10">
        <v>106.0</v>
      </c>
      <c r="F85" s="10">
        <v>0.0</v>
      </c>
    </row>
    <row r="86">
      <c r="A86" s="2" t="s">
        <v>113</v>
      </c>
      <c r="B86" s="10">
        <v>141.0</v>
      </c>
      <c r="C86" s="10">
        <v>2.0</v>
      </c>
      <c r="D86" s="10">
        <v>31.0</v>
      </c>
      <c r="E86" s="10">
        <v>138.0</v>
      </c>
      <c r="F86" s="10">
        <v>0.0</v>
      </c>
    </row>
    <row r="87">
      <c r="A87" s="2" t="s">
        <v>114</v>
      </c>
      <c r="B87" s="10">
        <v>108.0</v>
      </c>
      <c r="C87" s="10">
        <v>0.0</v>
      </c>
      <c r="D87" s="10">
        <v>26.0</v>
      </c>
      <c r="E87" s="10">
        <v>108.0</v>
      </c>
      <c r="F87" s="10">
        <v>0.0</v>
      </c>
    </row>
    <row r="88">
      <c r="A88" s="2" t="s">
        <v>115</v>
      </c>
      <c r="B88" s="10">
        <v>355.0</v>
      </c>
      <c r="C88" s="10">
        <v>2.0</v>
      </c>
      <c r="D88" s="10">
        <v>86.0</v>
      </c>
      <c r="E88" s="10">
        <v>352.0</v>
      </c>
      <c r="F88" s="10">
        <v>0.0</v>
      </c>
    </row>
    <row r="89">
      <c r="A89" s="2" t="s">
        <v>116</v>
      </c>
      <c r="B89" s="10">
        <v>86.0</v>
      </c>
      <c r="C89" s="10">
        <v>2.0</v>
      </c>
      <c r="D89" s="10">
        <v>22.0</v>
      </c>
      <c r="E89" s="10">
        <v>86.0</v>
      </c>
      <c r="F89" s="10">
        <v>2.0</v>
      </c>
    </row>
    <row r="90">
      <c r="A90" s="2" t="s">
        <v>117</v>
      </c>
      <c r="B90" s="10">
        <v>105.0</v>
      </c>
      <c r="C90" s="10">
        <v>1.0</v>
      </c>
      <c r="D90" s="10">
        <v>37.0</v>
      </c>
      <c r="E90" s="10">
        <v>104.0</v>
      </c>
      <c r="F90" s="10">
        <v>0.0</v>
      </c>
    </row>
    <row r="91">
      <c r="A91" s="2" t="s">
        <v>118</v>
      </c>
      <c r="B91" s="10">
        <v>191.0</v>
      </c>
      <c r="C91" s="10">
        <v>3.0</v>
      </c>
      <c r="D91" s="10">
        <v>59.0</v>
      </c>
      <c r="E91" s="10">
        <v>190.0</v>
      </c>
      <c r="F91" s="10">
        <v>2.0</v>
      </c>
    </row>
    <row r="92">
      <c r="A92" s="2" t="s">
        <v>119</v>
      </c>
      <c r="B92" s="10">
        <v>4472.0</v>
      </c>
      <c r="C92" s="10">
        <v>42.0</v>
      </c>
      <c r="D92" s="10">
        <v>1152.0</v>
      </c>
      <c r="E92" s="10">
        <v>4436.0</v>
      </c>
      <c r="F92" s="10">
        <v>14.0</v>
      </c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2" t="s">
        <v>120</v>
      </c>
    </row>
    <row r="96">
      <c r="A96" s="2" t="s">
        <v>132</v>
      </c>
    </row>
    <row r="97">
      <c r="A97" s="2" t="s">
        <v>133</v>
      </c>
    </row>
    <row r="98">
      <c r="A98" s="2" t="s">
        <v>134</v>
      </c>
    </row>
    <row r="99">
      <c r="A99" s="2" t="s">
        <v>135</v>
      </c>
    </row>
  </sheetData>
  <mergeCells count="10">
    <mergeCell ref="A97:F97"/>
    <mergeCell ref="A98:F98"/>
    <mergeCell ref="A99:F99"/>
    <mergeCell ref="A1:C1"/>
    <mergeCell ref="A2:B2"/>
    <mergeCell ref="A3:C3"/>
    <mergeCell ref="A5:F5"/>
    <mergeCell ref="A6:C6"/>
    <mergeCell ref="A95:F95"/>
    <mergeCell ref="A96:F9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/>
      <c r="C1" s="2"/>
      <c r="D1" s="5"/>
      <c r="E1" s="5"/>
      <c r="F1" s="5"/>
    </row>
    <row r="2">
      <c r="A2" s="2" t="s">
        <v>3</v>
      </c>
      <c r="B2" s="2"/>
      <c r="C2" s="5"/>
      <c r="D2" s="5"/>
      <c r="E2" s="5"/>
      <c r="F2" s="5"/>
    </row>
    <row r="3">
      <c r="A3" s="2" t="s">
        <v>5</v>
      </c>
      <c r="B3" s="2"/>
      <c r="C3" s="2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 t="s">
        <v>6</v>
      </c>
      <c r="B5" s="2"/>
      <c r="C5" s="2"/>
      <c r="D5" s="2"/>
      <c r="E5" s="2"/>
      <c r="F5" s="2"/>
    </row>
    <row r="6">
      <c r="A6" s="2" t="s">
        <v>152</v>
      </c>
      <c r="B6" s="2"/>
      <c r="C6" s="2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>
      <c r="A9" s="2" t="s">
        <v>16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</row>
    <row r="10">
      <c r="A10" s="2" t="s">
        <v>15</v>
      </c>
      <c r="B10" s="10">
        <v>22.0</v>
      </c>
      <c r="C10" s="10">
        <v>0.0</v>
      </c>
      <c r="D10" s="10">
        <v>10.0</v>
      </c>
      <c r="E10" s="10">
        <v>22.0</v>
      </c>
      <c r="F10" s="10">
        <v>0.0</v>
      </c>
    </row>
    <row r="11">
      <c r="A11" s="2" t="s">
        <v>17</v>
      </c>
      <c r="B11" s="10">
        <v>2.0</v>
      </c>
      <c r="C11" s="10">
        <v>0.0</v>
      </c>
      <c r="D11" s="10">
        <v>0.0</v>
      </c>
      <c r="E11" s="10">
        <v>2.0</v>
      </c>
      <c r="F11" s="10">
        <v>0.0</v>
      </c>
    </row>
    <row r="12">
      <c r="A12" s="2" t="s">
        <v>19</v>
      </c>
      <c r="B12" s="10">
        <v>24.0</v>
      </c>
      <c r="C12" s="10">
        <v>0.0</v>
      </c>
      <c r="D12" s="10">
        <v>10.0</v>
      </c>
      <c r="E12" s="10">
        <v>24.0</v>
      </c>
      <c r="F12" s="10">
        <v>0.0</v>
      </c>
    </row>
    <row r="13">
      <c r="A13" s="2" t="s">
        <v>24</v>
      </c>
      <c r="B13" s="10">
        <v>84.0</v>
      </c>
      <c r="C13" s="10">
        <v>0.0</v>
      </c>
      <c r="D13" s="10">
        <v>20.0</v>
      </c>
      <c r="E13" s="10">
        <v>84.0</v>
      </c>
      <c r="F13" s="10">
        <v>0.0</v>
      </c>
    </row>
    <row r="14">
      <c r="A14" s="2" t="s">
        <v>25</v>
      </c>
      <c r="B14" s="10">
        <v>56.0</v>
      </c>
      <c r="C14" s="10">
        <v>0.0</v>
      </c>
      <c r="D14" s="10">
        <v>9.0</v>
      </c>
      <c r="E14" s="10">
        <v>56.0</v>
      </c>
      <c r="F14" s="10">
        <v>0.0</v>
      </c>
    </row>
    <row r="15">
      <c r="A15" s="2" t="s">
        <v>26</v>
      </c>
      <c r="B15" s="10">
        <v>69.0</v>
      </c>
      <c r="C15" s="10">
        <v>0.0</v>
      </c>
      <c r="D15" s="10">
        <v>16.0</v>
      </c>
      <c r="E15" s="10">
        <v>69.0</v>
      </c>
      <c r="F15" s="10">
        <v>0.0</v>
      </c>
    </row>
    <row r="16">
      <c r="A16" s="2" t="s">
        <v>27</v>
      </c>
      <c r="B16" s="10">
        <v>57.0</v>
      </c>
      <c r="C16" s="10">
        <v>0.0</v>
      </c>
      <c r="D16" s="10">
        <v>8.0</v>
      </c>
      <c r="E16" s="10">
        <v>57.0</v>
      </c>
      <c r="F16" s="10">
        <v>0.0</v>
      </c>
    </row>
    <row r="17">
      <c r="A17" s="2" t="s">
        <v>18</v>
      </c>
      <c r="B17" s="10">
        <v>65.0</v>
      </c>
      <c r="C17" s="10">
        <v>0.0</v>
      </c>
      <c r="D17" s="10">
        <v>11.0</v>
      </c>
      <c r="E17" s="10">
        <v>65.0</v>
      </c>
      <c r="F17" s="10">
        <v>0.0</v>
      </c>
    </row>
    <row r="18">
      <c r="A18" s="2" t="s">
        <v>28</v>
      </c>
      <c r="B18" s="10">
        <v>146.0</v>
      </c>
      <c r="C18" s="10">
        <v>0.0</v>
      </c>
      <c r="D18" s="10">
        <v>39.0</v>
      </c>
      <c r="E18" s="10">
        <v>146.0</v>
      </c>
      <c r="F18" s="10">
        <v>0.0</v>
      </c>
    </row>
    <row r="19">
      <c r="A19" s="2" t="s">
        <v>29</v>
      </c>
      <c r="B19" s="10">
        <v>84.0</v>
      </c>
      <c r="C19" s="10">
        <v>1.0</v>
      </c>
      <c r="D19" s="10">
        <v>29.0</v>
      </c>
      <c r="E19" s="10">
        <v>83.0</v>
      </c>
      <c r="F19" s="10">
        <v>0.0</v>
      </c>
    </row>
    <row r="20">
      <c r="A20" s="2" t="s">
        <v>31</v>
      </c>
      <c r="B20" s="10">
        <v>561.0</v>
      </c>
      <c r="C20" s="10">
        <v>1.0</v>
      </c>
      <c r="D20" s="10">
        <v>132.0</v>
      </c>
      <c r="E20" s="10">
        <v>560.0</v>
      </c>
      <c r="F20" s="10">
        <v>0.0</v>
      </c>
    </row>
    <row r="21">
      <c r="A21" s="2" t="s">
        <v>32</v>
      </c>
      <c r="B21" s="10">
        <v>96.0</v>
      </c>
      <c r="C21" s="10">
        <v>3.0</v>
      </c>
      <c r="D21" s="10">
        <v>33.0</v>
      </c>
      <c r="E21" s="10">
        <v>93.0</v>
      </c>
      <c r="F21" s="10">
        <v>0.0</v>
      </c>
    </row>
    <row r="22">
      <c r="A22" s="2" t="s">
        <v>33</v>
      </c>
      <c r="B22" s="10">
        <v>86.0</v>
      </c>
      <c r="C22" s="10">
        <v>0.0</v>
      </c>
      <c r="D22" s="10">
        <v>19.0</v>
      </c>
      <c r="E22" s="10">
        <v>86.0</v>
      </c>
      <c r="F22" s="10">
        <v>0.0</v>
      </c>
    </row>
    <row r="23">
      <c r="A23" s="2" t="s">
        <v>34</v>
      </c>
      <c r="B23" s="10">
        <v>82.0</v>
      </c>
      <c r="C23" s="10">
        <v>1.0</v>
      </c>
      <c r="D23" s="10">
        <v>30.0</v>
      </c>
      <c r="E23" s="10">
        <v>81.0</v>
      </c>
      <c r="F23" s="10">
        <v>0.0</v>
      </c>
    </row>
    <row r="24">
      <c r="A24" s="2" t="s">
        <v>36</v>
      </c>
      <c r="B24" s="10">
        <v>84.0</v>
      </c>
      <c r="C24" s="10">
        <v>1.0</v>
      </c>
      <c r="D24" s="10">
        <v>34.0</v>
      </c>
      <c r="E24" s="10">
        <v>83.0</v>
      </c>
      <c r="F24" s="10">
        <v>0.0</v>
      </c>
    </row>
    <row r="25">
      <c r="A25" s="2" t="s">
        <v>37</v>
      </c>
      <c r="B25" s="10">
        <v>348.0</v>
      </c>
      <c r="C25" s="10">
        <v>5.0</v>
      </c>
      <c r="D25" s="10">
        <v>116.0</v>
      </c>
      <c r="E25" s="10">
        <v>343.0</v>
      </c>
      <c r="F25" s="10">
        <v>0.0</v>
      </c>
    </row>
    <row r="26">
      <c r="A26" s="2" t="s">
        <v>40</v>
      </c>
      <c r="B26" s="10">
        <v>168.0</v>
      </c>
      <c r="C26" s="10">
        <v>0.0</v>
      </c>
      <c r="D26" s="10">
        <v>50.0</v>
      </c>
      <c r="E26" s="10">
        <v>168.0</v>
      </c>
      <c r="F26" s="10">
        <v>0.0</v>
      </c>
    </row>
    <row r="27">
      <c r="A27" s="2" t="s">
        <v>44</v>
      </c>
      <c r="B27" s="10">
        <v>181.0</v>
      </c>
      <c r="C27" s="10">
        <v>1.0</v>
      </c>
      <c r="D27" s="10">
        <v>61.0</v>
      </c>
      <c r="E27" s="10">
        <v>179.0</v>
      </c>
      <c r="F27" s="10">
        <v>0.0</v>
      </c>
    </row>
    <row r="28">
      <c r="A28" s="2" t="s">
        <v>48</v>
      </c>
      <c r="B28" s="10">
        <v>113.0</v>
      </c>
      <c r="C28" s="10">
        <v>1.0</v>
      </c>
      <c r="D28" s="10">
        <v>35.0</v>
      </c>
      <c r="E28" s="10">
        <v>111.0</v>
      </c>
      <c r="F28" s="10">
        <v>0.0</v>
      </c>
    </row>
    <row r="29">
      <c r="A29" s="2" t="s">
        <v>52</v>
      </c>
      <c r="B29" s="10">
        <v>462.0</v>
      </c>
      <c r="C29" s="10">
        <v>2.0</v>
      </c>
      <c r="D29" s="10">
        <v>146.0</v>
      </c>
      <c r="E29" s="10">
        <v>458.0</v>
      </c>
      <c r="F29" s="10">
        <v>0.0</v>
      </c>
    </row>
    <row r="30">
      <c r="A30" s="2" t="s">
        <v>54</v>
      </c>
      <c r="B30" s="10">
        <v>95.0</v>
      </c>
      <c r="C30" s="10">
        <v>1.0</v>
      </c>
      <c r="D30" s="10">
        <v>21.0</v>
      </c>
      <c r="E30" s="10">
        <v>94.0</v>
      </c>
      <c r="F30" s="10">
        <v>0.0</v>
      </c>
    </row>
    <row r="31">
      <c r="A31" s="2" t="s">
        <v>58</v>
      </c>
      <c r="B31" s="10">
        <v>73.0</v>
      </c>
      <c r="C31" s="10">
        <v>1.0</v>
      </c>
      <c r="D31" s="10">
        <v>18.0</v>
      </c>
      <c r="E31" s="10">
        <v>73.0</v>
      </c>
      <c r="F31" s="10">
        <v>1.0</v>
      </c>
    </row>
    <row r="32">
      <c r="A32" s="2" t="s">
        <v>60</v>
      </c>
      <c r="B32" s="10">
        <v>168.0</v>
      </c>
      <c r="C32" s="10">
        <v>2.0</v>
      </c>
      <c r="D32" s="10">
        <v>39.0</v>
      </c>
      <c r="E32" s="10">
        <v>167.0</v>
      </c>
      <c r="F32" s="10">
        <v>1.0</v>
      </c>
    </row>
    <row r="33">
      <c r="A33" s="2" t="s">
        <v>61</v>
      </c>
      <c r="B33" s="10">
        <v>70.0</v>
      </c>
      <c r="C33" s="10">
        <v>0.0</v>
      </c>
      <c r="D33" s="10">
        <v>4.0</v>
      </c>
      <c r="E33" s="10">
        <v>70.0</v>
      </c>
      <c r="F33" s="10">
        <v>0.0</v>
      </c>
    </row>
    <row r="34">
      <c r="A34" s="2" t="s">
        <v>62</v>
      </c>
      <c r="B34" s="10">
        <v>37.0</v>
      </c>
      <c r="C34" s="10">
        <v>0.0</v>
      </c>
      <c r="D34" s="10">
        <v>4.0</v>
      </c>
      <c r="E34" s="10">
        <v>37.0</v>
      </c>
      <c r="F34" s="10">
        <v>0.0</v>
      </c>
    </row>
    <row r="35">
      <c r="A35" s="2" t="s">
        <v>63</v>
      </c>
      <c r="B35" s="10">
        <v>56.0</v>
      </c>
      <c r="C35" s="10">
        <v>0.0</v>
      </c>
      <c r="D35" s="10">
        <v>9.0</v>
      </c>
      <c r="E35" s="10">
        <v>55.0</v>
      </c>
      <c r="F35" s="10">
        <v>0.0</v>
      </c>
    </row>
    <row r="36">
      <c r="A36" s="2" t="s">
        <v>64</v>
      </c>
      <c r="B36" s="10">
        <v>55.0</v>
      </c>
      <c r="C36" s="10">
        <v>0.0</v>
      </c>
      <c r="D36" s="10">
        <v>6.0</v>
      </c>
      <c r="E36" s="10">
        <v>54.0</v>
      </c>
      <c r="F36" s="10">
        <v>0.0</v>
      </c>
    </row>
    <row r="37">
      <c r="A37" s="2" t="s">
        <v>65</v>
      </c>
      <c r="B37" s="10">
        <v>39.0</v>
      </c>
      <c r="C37" s="10">
        <v>0.0</v>
      </c>
      <c r="D37" s="10">
        <v>3.0</v>
      </c>
      <c r="E37" s="10">
        <v>39.0</v>
      </c>
      <c r="F37" s="10">
        <v>0.0</v>
      </c>
    </row>
    <row r="38">
      <c r="A38" s="2" t="s">
        <v>66</v>
      </c>
      <c r="B38" s="10">
        <v>7.0</v>
      </c>
      <c r="C38" s="10">
        <v>0.0</v>
      </c>
      <c r="D38" s="10">
        <v>2.0</v>
      </c>
      <c r="E38" s="10">
        <v>7.0</v>
      </c>
      <c r="F38" s="10">
        <v>0.0</v>
      </c>
    </row>
    <row r="39">
      <c r="A39" s="2" t="s">
        <v>67</v>
      </c>
      <c r="B39" s="10">
        <v>9.0</v>
      </c>
      <c r="C39" s="10">
        <v>0.0</v>
      </c>
      <c r="D39" s="10">
        <v>1.0</v>
      </c>
      <c r="E39" s="10">
        <v>8.0</v>
      </c>
      <c r="F39" s="10">
        <v>0.0</v>
      </c>
    </row>
    <row r="40">
      <c r="A40" s="2" t="s">
        <v>68</v>
      </c>
      <c r="B40" s="10">
        <v>41.0</v>
      </c>
      <c r="C40" s="10">
        <v>0.0</v>
      </c>
      <c r="D40" s="10">
        <v>5.0</v>
      </c>
      <c r="E40" s="10">
        <v>41.0</v>
      </c>
      <c r="F40" s="10">
        <v>0.0</v>
      </c>
    </row>
    <row r="41">
      <c r="A41" s="2" t="s">
        <v>69</v>
      </c>
      <c r="B41" s="10">
        <v>33.0</v>
      </c>
      <c r="C41" s="10">
        <v>1.0</v>
      </c>
      <c r="D41" s="10">
        <v>7.0</v>
      </c>
      <c r="E41" s="10">
        <v>32.0</v>
      </c>
      <c r="F41" s="10">
        <v>0.0</v>
      </c>
    </row>
    <row r="42">
      <c r="A42" s="2" t="s">
        <v>70</v>
      </c>
      <c r="B42" s="10">
        <v>32.0</v>
      </c>
      <c r="C42" s="10">
        <v>0.0</v>
      </c>
      <c r="D42" s="10">
        <v>4.0</v>
      </c>
      <c r="E42" s="10">
        <v>32.0</v>
      </c>
      <c r="F42" s="10">
        <v>0.0</v>
      </c>
    </row>
    <row r="43">
      <c r="A43" s="2" t="s">
        <v>71</v>
      </c>
      <c r="B43" s="10">
        <v>69.0</v>
      </c>
      <c r="C43" s="10">
        <v>0.0</v>
      </c>
      <c r="D43" s="10">
        <v>14.0</v>
      </c>
      <c r="E43" s="10">
        <v>69.0</v>
      </c>
      <c r="F43" s="10">
        <v>0.0</v>
      </c>
    </row>
    <row r="44">
      <c r="A44" s="2" t="s">
        <v>72</v>
      </c>
      <c r="B44" s="10">
        <v>145.0</v>
      </c>
      <c r="C44" s="10">
        <v>0.0</v>
      </c>
      <c r="D44" s="10">
        <v>23.0</v>
      </c>
      <c r="E44" s="10">
        <v>145.0</v>
      </c>
      <c r="F44" s="10">
        <v>0.0</v>
      </c>
    </row>
    <row r="45">
      <c r="A45" s="2" t="s">
        <v>73</v>
      </c>
      <c r="B45" s="10">
        <v>26.0</v>
      </c>
      <c r="C45" s="10">
        <v>0.0</v>
      </c>
      <c r="D45" s="10">
        <v>1.0</v>
      </c>
      <c r="E45" s="10">
        <v>26.0</v>
      </c>
      <c r="F45" s="10">
        <v>0.0</v>
      </c>
    </row>
    <row r="46">
      <c r="A46" s="2" t="s">
        <v>74</v>
      </c>
      <c r="B46" s="10">
        <v>9.0</v>
      </c>
      <c r="C46" s="10">
        <v>0.0</v>
      </c>
      <c r="D46" s="10">
        <v>0.0</v>
      </c>
      <c r="E46" s="10">
        <v>9.0</v>
      </c>
      <c r="F46" s="10">
        <v>0.0</v>
      </c>
    </row>
    <row r="47">
      <c r="A47" s="2" t="s">
        <v>75</v>
      </c>
      <c r="B47" s="10">
        <v>10.0</v>
      </c>
      <c r="C47" s="10">
        <v>0.0</v>
      </c>
      <c r="D47" s="10">
        <v>1.0</v>
      </c>
      <c r="E47" s="10">
        <v>10.0</v>
      </c>
      <c r="F47" s="10">
        <v>0.0</v>
      </c>
    </row>
    <row r="48">
      <c r="A48" s="2" t="s">
        <v>76</v>
      </c>
      <c r="B48" s="10">
        <v>7.0</v>
      </c>
      <c r="C48" s="10">
        <v>0.0</v>
      </c>
      <c r="D48" s="10">
        <v>0.0</v>
      </c>
      <c r="E48" s="10">
        <v>7.0</v>
      </c>
      <c r="F48" s="10">
        <v>0.0</v>
      </c>
    </row>
    <row r="49">
      <c r="A49" s="2" t="s">
        <v>77</v>
      </c>
      <c r="B49" s="10">
        <v>195.0</v>
      </c>
      <c r="C49" s="10">
        <v>0.0</v>
      </c>
      <c r="D49" s="10">
        <v>34.0</v>
      </c>
      <c r="E49" s="10">
        <v>195.0</v>
      </c>
      <c r="F49" s="10">
        <v>2.0</v>
      </c>
    </row>
    <row r="50">
      <c r="A50" s="2" t="s">
        <v>78</v>
      </c>
      <c r="B50" s="10">
        <v>66.0</v>
      </c>
      <c r="C50" s="10">
        <v>0.0</v>
      </c>
      <c r="D50" s="10">
        <v>9.0</v>
      </c>
      <c r="E50" s="10">
        <v>66.0</v>
      </c>
      <c r="F50" s="10">
        <v>0.0</v>
      </c>
    </row>
    <row r="51">
      <c r="A51" s="2" t="s">
        <v>79</v>
      </c>
      <c r="B51" s="10">
        <v>58.0</v>
      </c>
      <c r="C51" s="10">
        <v>0.0</v>
      </c>
      <c r="D51" s="10">
        <v>5.0</v>
      </c>
      <c r="E51" s="10">
        <v>58.0</v>
      </c>
      <c r="F51" s="10">
        <v>0.0</v>
      </c>
    </row>
    <row r="52">
      <c r="A52" s="2" t="s">
        <v>80</v>
      </c>
      <c r="B52" s="10">
        <v>42.0</v>
      </c>
      <c r="C52" s="10">
        <v>0.0</v>
      </c>
      <c r="D52" s="10">
        <v>5.0</v>
      </c>
      <c r="E52" s="10">
        <v>42.0</v>
      </c>
      <c r="F52" s="10">
        <v>0.0</v>
      </c>
    </row>
    <row r="53">
      <c r="A53" s="2" t="s">
        <v>81</v>
      </c>
      <c r="B53" s="10">
        <v>12.0</v>
      </c>
      <c r="C53" s="10">
        <v>0.0</v>
      </c>
      <c r="D53" s="10">
        <v>0.0</v>
      </c>
      <c r="E53" s="10">
        <v>12.0</v>
      </c>
      <c r="F53" s="10">
        <v>0.0</v>
      </c>
    </row>
    <row r="54">
      <c r="A54" s="2" t="s">
        <v>82</v>
      </c>
      <c r="B54" s="10">
        <v>4.0</v>
      </c>
      <c r="C54" s="10">
        <v>0.0</v>
      </c>
      <c r="D54" s="10">
        <v>0.0</v>
      </c>
      <c r="E54" s="10">
        <v>4.0</v>
      </c>
      <c r="F54" s="10">
        <v>0.0</v>
      </c>
    </row>
    <row r="55">
      <c r="A55" s="2" t="s">
        <v>83</v>
      </c>
      <c r="B55" s="10">
        <v>67.0</v>
      </c>
      <c r="C55" s="10">
        <v>1.0</v>
      </c>
      <c r="D55" s="10">
        <v>14.0</v>
      </c>
      <c r="E55" s="10">
        <v>67.0</v>
      </c>
      <c r="F55" s="10">
        <v>0.0</v>
      </c>
    </row>
    <row r="56">
      <c r="A56" s="2" t="s">
        <v>84</v>
      </c>
      <c r="B56" s="10">
        <v>950.0</v>
      </c>
      <c r="C56" s="10">
        <v>2.0</v>
      </c>
      <c r="D56" s="10">
        <v>139.0</v>
      </c>
      <c r="E56" s="10">
        <v>947.0</v>
      </c>
      <c r="F56" s="10">
        <v>2.0</v>
      </c>
    </row>
    <row r="57">
      <c r="A57" s="2" t="s">
        <v>85</v>
      </c>
      <c r="B57" s="10">
        <v>26.0</v>
      </c>
      <c r="C57" s="10">
        <v>0.0</v>
      </c>
      <c r="D57" s="10">
        <v>5.0</v>
      </c>
      <c r="E57" s="10">
        <v>26.0</v>
      </c>
      <c r="F57" s="10">
        <v>0.0</v>
      </c>
    </row>
    <row r="58">
      <c r="A58" s="2" t="s">
        <v>86</v>
      </c>
      <c r="B58" s="10">
        <v>114.0</v>
      </c>
      <c r="C58" s="10">
        <v>1.0</v>
      </c>
      <c r="D58" s="10">
        <v>61.0</v>
      </c>
      <c r="E58" s="10">
        <v>112.0</v>
      </c>
      <c r="F58" s="10">
        <v>0.0</v>
      </c>
    </row>
    <row r="59">
      <c r="A59" s="2" t="s">
        <v>87</v>
      </c>
      <c r="B59" s="10">
        <v>72.0</v>
      </c>
      <c r="C59" s="10">
        <v>0.0</v>
      </c>
      <c r="D59" s="10">
        <v>40.0</v>
      </c>
      <c r="E59" s="10">
        <v>72.0</v>
      </c>
      <c r="F59" s="10">
        <v>0.0</v>
      </c>
    </row>
    <row r="60">
      <c r="A60" s="2" t="s">
        <v>88</v>
      </c>
      <c r="B60" s="10">
        <v>14.0</v>
      </c>
      <c r="C60" s="10">
        <v>0.0</v>
      </c>
      <c r="D60" s="10">
        <v>7.0</v>
      </c>
      <c r="E60" s="10">
        <v>13.0</v>
      </c>
      <c r="F60" s="10">
        <v>0.0</v>
      </c>
    </row>
    <row r="61">
      <c r="A61" s="2" t="s">
        <v>89</v>
      </c>
      <c r="B61" s="10">
        <v>28.0</v>
      </c>
      <c r="C61" s="10">
        <v>1.0</v>
      </c>
      <c r="D61" s="10">
        <v>14.0</v>
      </c>
      <c r="E61" s="10">
        <v>27.0</v>
      </c>
      <c r="F61" s="10">
        <v>0.0</v>
      </c>
    </row>
    <row r="62">
      <c r="A62" s="2" t="s">
        <v>90</v>
      </c>
      <c r="B62" s="10">
        <v>71.0</v>
      </c>
      <c r="C62" s="10">
        <v>0.0</v>
      </c>
      <c r="D62" s="10">
        <v>35.0</v>
      </c>
      <c r="E62" s="10">
        <v>71.0</v>
      </c>
      <c r="F62" s="10">
        <v>0.0</v>
      </c>
    </row>
    <row r="63">
      <c r="A63" s="2" t="s">
        <v>91</v>
      </c>
      <c r="B63" s="10">
        <v>74.0</v>
      </c>
      <c r="C63" s="10">
        <v>1.0</v>
      </c>
      <c r="D63" s="10">
        <v>20.0</v>
      </c>
      <c r="E63" s="10">
        <v>73.0</v>
      </c>
      <c r="F63" s="10">
        <v>0.0</v>
      </c>
    </row>
    <row r="64">
      <c r="A64" s="2" t="s">
        <v>92</v>
      </c>
      <c r="B64" s="10">
        <v>74.0</v>
      </c>
      <c r="C64" s="10">
        <v>0.0</v>
      </c>
      <c r="D64" s="10">
        <v>23.0</v>
      </c>
      <c r="E64" s="10">
        <v>74.0</v>
      </c>
      <c r="F64" s="10">
        <v>0.0</v>
      </c>
    </row>
    <row r="65">
      <c r="A65" s="2" t="s">
        <v>93</v>
      </c>
      <c r="B65" s="10">
        <v>110.0</v>
      </c>
      <c r="C65" s="10">
        <v>0.0</v>
      </c>
      <c r="D65" s="10">
        <v>22.0</v>
      </c>
      <c r="E65" s="10">
        <v>110.0</v>
      </c>
      <c r="F65" s="10">
        <v>0.0</v>
      </c>
    </row>
    <row r="66">
      <c r="A66" s="2" t="s">
        <v>94</v>
      </c>
      <c r="B66" s="10">
        <v>52.0</v>
      </c>
      <c r="C66" s="10">
        <v>0.0</v>
      </c>
      <c r="D66" s="10">
        <v>29.0</v>
      </c>
      <c r="E66" s="10">
        <v>51.0</v>
      </c>
      <c r="F66" s="10">
        <v>0.0</v>
      </c>
    </row>
    <row r="67">
      <c r="A67" s="2" t="s">
        <v>95</v>
      </c>
      <c r="B67" s="10">
        <v>29.0</v>
      </c>
      <c r="C67" s="10">
        <v>0.0</v>
      </c>
      <c r="D67" s="10">
        <v>18.0</v>
      </c>
      <c r="E67" s="10">
        <v>28.0</v>
      </c>
      <c r="F67" s="10">
        <v>0.0</v>
      </c>
    </row>
    <row r="68">
      <c r="A68" s="2" t="s">
        <v>96</v>
      </c>
      <c r="B68" s="10">
        <v>10.0</v>
      </c>
      <c r="C68" s="10">
        <v>0.0</v>
      </c>
      <c r="D68" s="10">
        <v>6.0</v>
      </c>
      <c r="E68" s="10">
        <v>10.0</v>
      </c>
      <c r="F68" s="10">
        <v>0.0</v>
      </c>
    </row>
    <row r="69">
      <c r="A69" s="2" t="s">
        <v>97</v>
      </c>
      <c r="B69" s="10">
        <v>13.0</v>
      </c>
      <c r="C69" s="10">
        <v>0.0</v>
      </c>
      <c r="D69" s="10">
        <v>5.0</v>
      </c>
      <c r="E69" s="10">
        <v>13.0</v>
      </c>
      <c r="F69" s="10">
        <v>0.0</v>
      </c>
    </row>
    <row r="70">
      <c r="A70" s="2" t="s">
        <v>98</v>
      </c>
      <c r="B70" s="10">
        <v>75.0</v>
      </c>
      <c r="C70" s="10">
        <v>0.0</v>
      </c>
      <c r="D70" s="10">
        <v>40.0</v>
      </c>
      <c r="E70" s="10">
        <v>75.0</v>
      </c>
      <c r="F70" s="10">
        <v>0.0</v>
      </c>
    </row>
    <row r="71">
      <c r="A71" s="2" t="s">
        <v>99</v>
      </c>
      <c r="B71" s="10">
        <v>96.0</v>
      </c>
      <c r="C71" s="10">
        <v>1.0</v>
      </c>
      <c r="D71" s="10">
        <v>12.0</v>
      </c>
      <c r="E71" s="10">
        <v>95.0</v>
      </c>
      <c r="F71" s="10">
        <v>0.0</v>
      </c>
    </row>
    <row r="72">
      <c r="A72" s="2" t="s">
        <v>100</v>
      </c>
      <c r="B72" s="10">
        <v>692.0</v>
      </c>
      <c r="C72" s="10">
        <v>3.0</v>
      </c>
      <c r="D72" s="10">
        <v>247.0</v>
      </c>
      <c r="E72" s="10">
        <v>687.0</v>
      </c>
      <c r="F72" s="10">
        <v>0.0</v>
      </c>
    </row>
    <row r="73">
      <c r="A73" s="2" t="s">
        <v>101</v>
      </c>
      <c r="B73" s="10">
        <v>27.0</v>
      </c>
      <c r="C73" s="10">
        <v>1.0</v>
      </c>
      <c r="D73" s="10">
        <v>9.0</v>
      </c>
      <c r="E73" s="10">
        <v>26.0</v>
      </c>
      <c r="F73" s="10">
        <v>0.0</v>
      </c>
    </row>
    <row r="74">
      <c r="A74" s="2" t="s">
        <v>102</v>
      </c>
      <c r="B74" s="10">
        <v>131.0</v>
      </c>
      <c r="C74" s="10">
        <v>1.0</v>
      </c>
      <c r="D74" s="10">
        <v>30.0</v>
      </c>
      <c r="E74" s="10">
        <v>130.0</v>
      </c>
      <c r="F74" s="10">
        <v>0.0</v>
      </c>
    </row>
    <row r="75">
      <c r="A75" s="2" t="s">
        <v>103</v>
      </c>
      <c r="B75" s="10">
        <v>100.0</v>
      </c>
      <c r="C75" s="10">
        <v>1.0</v>
      </c>
      <c r="D75" s="10">
        <v>22.0</v>
      </c>
      <c r="E75" s="10">
        <v>99.0</v>
      </c>
      <c r="F75" s="10">
        <v>0.0</v>
      </c>
    </row>
    <row r="76">
      <c r="A76" s="2" t="s">
        <v>104</v>
      </c>
      <c r="B76" s="10">
        <v>88.0</v>
      </c>
      <c r="C76" s="10">
        <v>3.0</v>
      </c>
      <c r="D76" s="10">
        <v>18.0</v>
      </c>
      <c r="E76" s="10">
        <v>86.0</v>
      </c>
      <c r="F76" s="10">
        <v>1.0</v>
      </c>
    </row>
    <row r="77">
      <c r="A77" s="2" t="s">
        <v>105</v>
      </c>
      <c r="B77" s="10">
        <v>89.0</v>
      </c>
      <c r="C77" s="10">
        <v>1.0</v>
      </c>
      <c r="D77" s="10">
        <v>18.0</v>
      </c>
      <c r="E77" s="10">
        <v>88.0</v>
      </c>
      <c r="F77" s="10">
        <v>0.0</v>
      </c>
    </row>
    <row r="78">
      <c r="A78" s="2" t="s">
        <v>106</v>
      </c>
      <c r="B78" s="10">
        <v>78.0</v>
      </c>
      <c r="C78" s="10">
        <v>1.0</v>
      </c>
      <c r="D78" s="10">
        <v>16.0</v>
      </c>
      <c r="E78" s="10">
        <v>77.0</v>
      </c>
      <c r="F78" s="10">
        <v>0.0</v>
      </c>
    </row>
    <row r="79">
      <c r="A79" s="2" t="s">
        <v>107</v>
      </c>
      <c r="B79" s="10">
        <v>63.0</v>
      </c>
      <c r="C79" s="10">
        <v>3.0</v>
      </c>
      <c r="D79" s="10">
        <v>23.0</v>
      </c>
      <c r="E79" s="10">
        <v>61.0</v>
      </c>
      <c r="F79" s="10">
        <v>1.0</v>
      </c>
    </row>
    <row r="80">
      <c r="A80" s="2" t="s">
        <v>108</v>
      </c>
      <c r="B80" s="10">
        <v>38.0</v>
      </c>
      <c r="C80" s="10">
        <v>4.0</v>
      </c>
      <c r="D80" s="10">
        <v>13.0</v>
      </c>
      <c r="E80" s="10">
        <v>33.0</v>
      </c>
      <c r="F80" s="10">
        <v>1.0</v>
      </c>
    </row>
    <row r="81">
      <c r="A81" s="2" t="s">
        <v>109</v>
      </c>
      <c r="B81" s="10">
        <v>74.0</v>
      </c>
      <c r="C81" s="10">
        <v>4.0</v>
      </c>
      <c r="D81" s="10">
        <v>21.0</v>
      </c>
      <c r="E81" s="10">
        <v>70.0</v>
      </c>
      <c r="F81" s="10">
        <v>0.0</v>
      </c>
    </row>
    <row r="82">
      <c r="A82" s="2" t="s">
        <v>110</v>
      </c>
      <c r="B82" s="10">
        <v>36.0</v>
      </c>
      <c r="C82" s="10">
        <v>2.0</v>
      </c>
      <c r="D82" s="10">
        <v>6.0</v>
      </c>
      <c r="E82" s="10">
        <v>34.0</v>
      </c>
      <c r="F82" s="10">
        <v>0.0</v>
      </c>
    </row>
    <row r="83">
      <c r="A83" s="2" t="s">
        <v>111</v>
      </c>
      <c r="B83" s="10">
        <v>724.0</v>
      </c>
      <c r="C83" s="10">
        <v>21.0</v>
      </c>
      <c r="D83" s="10">
        <v>176.0</v>
      </c>
      <c r="E83" s="10">
        <v>704.0</v>
      </c>
      <c r="F83" s="10">
        <v>3.0</v>
      </c>
    </row>
    <row r="84">
      <c r="A84" s="2" t="s">
        <v>112</v>
      </c>
      <c r="B84" s="10">
        <v>101.0</v>
      </c>
      <c r="C84" s="10">
        <v>0.0</v>
      </c>
      <c r="D84" s="10">
        <v>25.0</v>
      </c>
      <c r="E84" s="10">
        <v>101.0</v>
      </c>
      <c r="F84" s="10">
        <v>0.0</v>
      </c>
    </row>
    <row r="85">
      <c r="A85" s="2" t="s">
        <v>113</v>
      </c>
      <c r="B85" s="10">
        <v>135.0</v>
      </c>
      <c r="C85" s="10">
        <v>2.0</v>
      </c>
      <c r="D85" s="10">
        <v>30.0</v>
      </c>
      <c r="E85" s="10">
        <v>132.0</v>
      </c>
      <c r="F85" s="10">
        <v>0.0</v>
      </c>
    </row>
    <row r="86">
      <c r="A86" s="2" t="s">
        <v>114</v>
      </c>
      <c r="B86" s="10">
        <v>104.0</v>
      </c>
      <c r="C86" s="10">
        <v>0.0</v>
      </c>
      <c r="D86" s="10">
        <v>24.0</v>
      </c>
      <c r="E86" s="10">
        <v>104.0</v>
      </c>
      <c r="F86" s="10">
        <v>0.0</v>
      </c>
    </row>
    <row r="87">
      <c r="A87" s="2" t="s">
        <v>115</v>
      </c>
      <c r="B87" s="10">
        <v>340.0</v>
      </c>
      <c r="C87" s="10">
        <v>2.0</v>
      </c>
      <c r="D87" s="10">
        <v>79.0</v>
      </c>
      <c r="E87" s="10">
        <v>337.0</v>
      </c>
      <c r="F87" s="10">
        <v>0.0</v>
      </c>
    </row>
    <row r="88">
      <c r="A88" s="2" t="s">
        <v>116</v>
      </c>
      <c r="B88" s="10">
        <v>89.0</v>
      </c>
      <c r="C88" s="10">
        <v>2.0</v>
      </c>
      <c r="D88" s="10">
        <v>23.0</v>
      </c>
      <c r="E88" s="10">
        <v>87.0</v>
      </c>
      <c r="F88" s="10">
        <v>0.0</v>
      </c>
    </row>
    <row r="89">
      <c r="A89" s="2" t="s">
        <v>117</v>
      </c>
      <c r="B89" s="10">
        <v>100.0</v>
      </c>
      <c r="C89" s="10">
        <v>0.0</v>
      </c>
      <c r="D89" s="10">
        <v>39.0</v>
      </c>
      <c r="E89" s="10">
        <v>99.0</v>
      </c>
      <c r="F89" s="10">
        <v>0.0</v>
      </c>
    </row>
    <row r="90">
      <c r="A90" s="2" t="s">
        <v>118</v>
      </c>
      <c r="B90" s="10">
        <v>189.0</v>
      </c>
      <c r="C90" s="10">
        <v>2.0</v>
      </c>
      <c r="D90" s="10">
        <v>62.0</v>
      </c>
      <c r="E90" s="10">
        <v>186.0</v>
      </c>
      <c r="F90" s="10">
        <v>0.0</v>
      </c>
    </row>
    <row r="91">
      <c r="A91" s="2" t="s">
        <v>119</v>
      </c>
      <c r="B91" s="10">
        <v>4458.0</v>
      </c>
      <c r="C91" s="10">
        <v>40.0</v>
      </c>
      <c r="D91" s="10">
        <v>1146.0</v>
      </c>
      <c r="E91" s="10">
        <v>4413.0</v>
      </c>
      <c r="F91" s="10">
        <v>6.0</v>
      </c>
    </row>
    <row r="92">
      <c r="A92" s="2"/>
      <c r="B92" s="10"/>
      <c r="C92" s="10"/>
      <c r="D92" s="10"/>
      <c r="E92" s="10"/>
      <c r="F92" s="10"/>
    </row>
    <row r="93">
      <c r="A93" s="5"/>
      <c r="B93" s="5"/>
      <c r="C93" s="5"/>
      <c r="D93" s="5"/>
      <c r="E93" s="5"/>
      <c r="F93" s="5"/>
    </row>
    <row r="94">
      <c r="A94" s="2" t="s">
        <v>120</v>
      </c>
      <c r="B94" s="5"/>
      <c r="C94" s="5"/>
      <c r="D94" s="5"/>
      <c r="E94" s="5"/>
      <c r="F94" s="5"/>
    </row>
    <row r="95">
      <c r="A95" s="2" t="s">
        <v>132</v>
      </c>
      <c r="B95" s="2"/>
      <c r="C95" s="2"/>
      <c r="D95" s="2"/>
      <c r="E95" s="2"/>
      <c r="F95" s="2"/>
    </row>
    <row r="96">
      <c r="A96" s="2" t="s">
        <v>133</v>
      </c>
      <c r="B96" s="2"/>
      <c r="C96" s="2"/>
      <c r="D96" s="2"/>
      <c r="E96" s="2"/>
      <c r="F96" s="2"/>
    </row>
    <row r="97">
      <c r="A97" s="2" t="s">
        <v>134</v>
      </c>
      <c r="B97" s="2"/>
      <c r="C97" s="2"/>
      <c r="D97" s="2"/>
      <c r="E97" s="2"/>
      <c r="F97" s="2"/>
    </row>
    <row r="98">
      <c r="A98" s="2" t="s">
        <v>135</v>
      </c>
      <c r="B98" s="2"/>
      <c r="C98" s="2"/>
      <c r="D98" s="2"/>
      <c r="E98" s="2"/>
      <c r="F98" s="2"/>
    </row>
    <row r="99">
      <c r="A99" s="2"/>
    </row>
  </sheetData>
  <mergeCells count="1">
    <mergeCell ref="A99:F9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/>
      <c r="C1" s="2"/>
      <c r="D1" s="5"/>
      <c r="E1" s="5"/>
      <c r="F1" s="5"/>
    </row>
    <row r="2">
      <c r="A2" s="2" t="s">
        <v>3</v>
      </c>
      <c r="B2" s="2"/>
      <c r="C2" s="5"/>
      <c r="D2" s="5"/>
      <c r="E2" s="5"/>
      <c r="F2" s="5"/>
    </row>
    <row r="3">
      <c r="A3" s="2" t="s">
        <v>5</v>
      </c>
      <c r="B3" s="2"/>
      <c r="C3" s="2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 t="s">
        <v>6</v>
      </c>
      <c r="B5" s="2"/>
      <c r="C5" s="2"/>
      <c r="D5" s="2"/>
      <c r="E5" s="2"/>
      <c r="F5" s="2"/>
    </row>
    <row r="6">
      <c r="A6" s="2" t="s">
        <v>154</v>
      </c>
      <c r="B6" s="2"/>
      <c r="C6" s="2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>
      <c r="A9" s="2" t="s">
        <v>16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</row>
    <row r="10">
      <c r="A10" s="2" t="s">
        <v>15</v>
      </c>
      <c r="B10" s="10">
        <v>22.0</v>
      </c>
      <c r="C10" s="10">
        <v>0.0</v>
      </c>
      <c r="D10" s="10">
        <v>10.0</v>
      </c>
      <c r="E10" s="10">
        <v>22.0</v>
      </c>
      <c r="F10" s="10">
        <v>0.0</v>
      </c>
    </row>
    <row r="11">
      <c r="A11" s="2" t="s">
        <v>17</v>
      </c>
      <c r="B11" s="10">
        <v>2.0</v>
      </c>
      <c r="C11" s="10">
        <v>0.0</v>
      </c>
      <c r="D11" s="10">
        <v>0.0</v>
      </c>
      <c r="E11" s="10">
        <v>2.0</v>
      </c>
      <c r="F11" s="10">
        <v>0.0</v>
      </c>
    </row>
    <row r="12">
      <c r="A12" s="2" t="s">
        <v>19</v>
      </c>
      <c r="B12" s="10">
        <v>24.0</v>
      </c>
      <c r="C12" s="10">
        <v>0.0</v>
      </c>
      <c r="D12" s="10">
        <v>10.0</v>
      </c>
      <c r="E12" s="10">
        <v>24.0</v>
      </c>
      <c r="F12" s="10">
        <v>0.0</v>
      </c>
    </row>
    <row r="13">
      <c r="A13" s="2" t="s">
        <v>24</v>
      </c>
      <c r="B13" s="10">
        <v>93.0</v>
      </c>
      <c r="C13" s="10">
        <v>0.0</v>
      </c>
      <c r="D13" s="10">
        <v>31.0</v>
      </c>
      <c r="E13" s="10">
        <v>93.0</v>
      </c>
      <c r="F13" s="10">
        <v>0.0</v>
      </c>
    </row>
    <row r="14">
      <c r="A14" s="2" t="s">
        <v>25</v>
      </c>
      <c r="B14" s="10">
        <v>56.0</v>
      </c>
      <c r="C14" s="10">
        <v>0.0</v>
      </c>
      <c r="D14" s="10">
        <v>9.0</v>
      </c>
      <c r="E14" s="10">
        <v>56.0</v>
      </c>
      <c r="F14" s="10">
        <v>0.0</v>
      </c>
    </row>
    <row r="15">
      <c r="A15" s="2" t="s">
        <v>26</v>
      </c>
      <c r="B15" s="10">
        <v>71.0</v>
      </c>
      <c r="C15" s="10">
        <v>0.0</v>
      </c>
      <c r="D15" s="10">
        <v>17.0</v>
      </c>
      <c r="E15" s="10">
        <v>71.0</v>
      </c>
      <c r="F15" s="10">
        <v>0.0</v>
      </c>
    </row>
    <row r="16">
      <c r="A16" s="2" t="s">
        <v>27</v>
      </c>
      <c r="B16" s="10">
        <v>61.0</v>
      </c>
      <c r="C16" s="10">
        <v>0.0</v>
      </c>
      <c r="D16" s="10">
        <v>7.0</v>
      </c>
      <c r="E16" s="10">
        <v>61.0</v>
      </c>
      <c r="F16" s="10">
        <v>0.0</v>
      </c>
    </row>
    <row r="17">
      <c r="A17" s="2" t="s">
        <v>18</v>
      </c>
      <c r="B17" s="10">
        <v>68.0</v>
      </c>
      <c r="C17" s="10">
        <v>0.0</v>
      </c>
      <c r="D17" s="10">
        <v>13.0</v>
      </c>
      <c r="E17" s="10">
        <v>68.0</v>
      </c>
      <c r="F17" s="10">
        <v>0.0</v>
      </c>
    </row>
    <row r="18">
      <c r="A18" s="2" t="s">
        <v>28</v>
      </c>
      <c r="B18" s="10">
        <v>143.0</v>
      </c>
      <c r="C18" s="10">
        <v>0.0</v>
      </c>
      <c r="D18" s="10">
        <v>41.0</v>
      </c>
      <c r="E18" s="10">
        <v>143.0</v>
      </c>
      <c r="F18" s="10">
        <v>0.0</v>
      </c>
    </row>
    <row r="19">
      <c r="A19" s="2" t="s">
        <v>29</v>
      </c>
      <c r="B19" s="10">
        <v>80.0</v>
      </c>
      <c r="C19" s="10">
        <v>1.0</v>
      </c>
      <c r="D19" s="10">
        <v>27.0</v>
      </c>
      <c r="E19" s="10">
        <v>79.0</v>
      </c>
      <c r="F19" s="10">
        <v>0.0</v>
      </c>
    </row>
    <row r="20">
      <c r="A20" s="2" t="s">
        <v>31</v>
      </c>
      <c r="B20" s="10">
        <v>572.0</v>
      </c>
      <c r="C20" s="10">
        <v>1.0</v>
      </c>
      <c r="D20" s="10">
        <v>145.0</v>
      </c>
      <c r="E20" s="10">
        <v>571.0</v>
      </c>
      <c r="F20" s="10">
        <v>0.0</v>
      </c>
    </row>
    <row r="21">
      <c r="A21" s="2" t="s">
        <v>32</v>
      </c>
      <c r="B21" s="10">
        <v>94.0</v>
      </c>
      <c r="C21" s="10">
        <v>2.0</v>
      </c>
      <c r="D21" s="10">
        <v>30.0</v>
      </c>
      <c r="E21" s="10">
        <v>92.0</v>
      </c>
      <c r="F21" s="10">
        <v>0.0</v>
      </c>
    </row>
    <row r="22">
      <c r="A22" s="2" t="s">
        <v>33</v>
      </c>
      <c r="B22" s="10">
        <v>85.0</v>
      </c>
      <c r="C22" s="10">
        <v>0.0</v>
      </c>
      <c r="D22" s="10">
        <v>17.0</v>
      </c>
      <c r="E22" s="10">
        <v>85.0</v>
      </c>
      <c r="F22" s="10">
        <v>0.0</v>
      </c>
    </row>
    <row r="23">
      <c r="A23" s="2" t="s">
        <v>34</v>
      </c>
      <c r="B23" s="10">
        <v>79.0</v>
      </c>
      <c r="C23" s="10">
        <v>1.0</v>
      </c>
      <c r="D23" s="10">
        <v>28.0</v>
      </c>
      <c r="E23" s="10">
        <v>78.0</v>
      </c>
      <c r="F23" s="10">
        <v>0.0</v>
      </c>
    </row>
    <row r="24">
      <c r="A24" s="2" t="s">
        <v>36</v>
      </c>
      <c r="B24" s="10">
        <v>83.0</v>
      </c>
      <c r="C24" s="10">
        <v>1.0</v>
      </c>
      <c r="D24" s="10">
        <v>34.0</v>
      </c>
      <c r="E24" s="10">
        <v>82.0</v>
      </c>
      <c r="F24" s="10">
        <v>0.0</v>
      </c>
    </row>
    <row r="25">
      <c r="A25" s="2" t="s">
        <v>37</v>
      </c>
      <c r="B25" s="10">
        <v>341.0</v>
      </c>
      <c r="C25" s="10">
        <v>4.0</v>
      </c>
      <c r="D25" s="10">
        <v>109.0</v>
      </c>
      <c r="E25" s="10">
        <v>337.0</v>
      </c>
      <c r="F25" s="10">
        <v>0.0</v>
      </c>
    </row>
    <row r="26">
      <c r="A26" s="2" t="s">
        <v>40</v>
      </c>
      <c r="B26" s="10">
        <v>167.0</v>
      </c>
      <c r="C26" s="10">
        <v>0.0</v>
      </c>
      <c r="D26" s="10">
        <v>51.0</v>
      </c>
      <c r="E26" s="10">
        <v>167.0</v>
      </c>
      <c r="F26" s="10">
        <v>0.0</v>
      </c>
    </row>
    <row r="27">
      <c r="A27" s="2" t="s">
        <v>44</v>
      </c>
      <c r="B27" s="10">
        <v>185.0</v>
      </c>
      <c r="C27" s="10">
        <v>2.0</v>
      </c>
      <c r="D27" s="10">
        <v>63.0</v>
      </c>
      <c r="E27" s="10">
        <v>183.0</v>
      </c>
      <c r="F27" s="10">
        <v>1.0</v>
      </c>
    </row>
    <row r="28">
      <c r="A28" s="2" t="s">
        <v>48</v>
      </c>
      <c r="B28" s="10">
        <v>108.0</v>
      </c>
      <c r="C28" s="10">
        <v>1.0</v>
      </c>
      <c r="D28" s="10">
        <v>33.0</v>
      </c>
      <c r="E28" s="10">
        <v>106.0</v>
      </c>
      <c r="F28" s="10">
        <v>0.0</v>
      </c>
    </row>
    <row r="29">
      <c r="A29" s="2" t="s">
        <v>52</v>
      </c>
      <c r="B29" s="10">
        <v>460.0</v>
      </c>
      <c r="C29" s="10">
        <v>3.0</v>
      </c>
      <c r="D29" s="10">
        <v>147.0</v>
      </c>
      <c r="E29" s="10">
        <v>456.0</v>
      </c>
      <c r="F29" s="10">
        <v>1.0</v>
      </c>
    </row>
    <row r="30">
      <c r="A30" s="2" t="s">
        <v>54</v>
      </c>
      <c r="B30" s="10">
        <v>97.0</v>
      </c>
      <c r="C30" s="10">
        <v>2.0</v>
      </c>
      <c r="D30" s="10">
        <v>23.0</v>
      </c>
      <c r="E30" s="10">
        <v>96.0</v>
      </c>
      <c r="F30" s="10">
        <v>1.0</v>
      </c>
    </row>
    <row r="31">
      <c r="A31" s="2" t="s">
        <v>58</v>
      </c>
      <c r="B31" s="10">
        <v>71.0</v>
      </c>
      <c r="C31" s="10">
        <v>1.0</v>
      </c>
      <c r="D31" s="10">
        <v>22.0</v>
      </c>
      <c r="E31" s="10">
        <v>71.0</v>
      </c>
      <c r="F31" s="10">
        <v>1.0</v>
      </c>
    </row>
    <row r="32">
      <c r="A32" s="2" t="s">
        <v>60</v>
      </c>
      <c r="B32" s="10">
        <v>168.0</v>
      </c>
      <c r="C32" s="10">
        <v>3.0</v>
      </c>
      <c r="D32" s="10">
        <v>45.0</v>
      </c>
      <c r="E32" s="10">
        <v>167.0</v>
      </c>
      <c r="F32" s="10">
        <v>2.0</v>
      </c>
    </row>
    <row r="33">
      <c r="A33" s="2" t="s">
        <v>61</v>
      </c>
      <c r="B33" s="10">
        <v>69.0</v>
      </c>
      <c r="C33" s="10">
        <v>0.0</v>
      </c>
      <c r="D33" s="10">
        <v>4.0</v>
      </c>
      <c r="E33" s="10">
        <v>69.0</v>
      </c>
      <c r="F33" s="10">
        <v>0.0</v>
      </c>
    </row>
    <row r="34">
      <c r="A34" s="2" t="s">
        <v>62</v>
      </c>
      <c r="B34" s="10">
        <v>42.0</v>
      </c>
      <c r="C34" s="10">
        <v>0.0</v>
      </c>
      <c r="D34" s="10">
        <v>5.0</v>
      </c>
      <c r="E34" s="10">
        <v>42.0</v>
      </c>
      <c r="F34" s="10">
        <v>0.0</v>
      </c>
    </row>
    <row r="35">
      <c r="A35" s="2" t="s">
        <v>63</v>
      </c>
      <c r="B35" s="10">
        <v>57.0</v>
      </c>
      <c r="C35" s="10">
        <v>0.0</v>
      </c>
      <c r="D35" s="10">
        <v>8.0</v>
      </c>
      <c r="E35" s="10">
        <v>56.0</v>
      </c>
      <c r="F35" s="10">
        <v>0.0</v>
      </c>
    </row>
    <row r="36">
      <c r="A36" s="2" t="s">
        <v>64</v>
      </c>
      <c r="B36" s="10">
        <v>60.0</v>
      </c>
      <c r="C36" s="10">
        <v>0.0</v>
      </c>
      <c r="D36" s="10">
        <v>7.0</v>
      </c>
      <c r="E36" s="10">
        <v>59.0</v>
      </c>
      <c r="F36" s="10">
        <v>0.0</v>
      </c>
    </row>
    <row r="37">
      <c r="A37" s="2" t="s">
        <v>65</v>
      </c>
      <c r="B37" s="10">
        <v>43.0</v>
      </c>
      <c r="C37" s="10">
        <v>0.0</v>
      </c>
      <c r="D37" s="10">
        <v>3.0</v>
      </c>
      <c r="E37" s="10">
        <v>43.0</v>
      </c>
      <c r="F37" s="10">
        <v>0.0</v>
      </c>
    </row>
    <row r="38">
      <c r="A38" s="2" t="s">
        <v>66</v>
      </c>
      <c r="B38" s="10">
        <v>8.0</v>
      </c>
      <c r="C38" s="10">
        <v>0.0</v>
      </c>
      <c r="D38" s="10">
        <v>2.0</v>
      </c>
      <c r="E38" s="10">
        <v>8.0</v>
      </c>
      <c r="F38" s="10">
        <v>0.0</v>
      </c>
    </row>
    <row r="39">
      <c r="A39" s="2" t="s">
        <v>67</v>
      </c>
      <c r="B39" s="10">
        <v>9.0</v>
      </c>
      <c r="C39" s="10">
        <v>0.0</v>
      </c>
      <c r="D39" s="10">
        <v>2.0</v>
      </c>
      <c r="E39" s="10">
        <v>8.0</v>
      </c>
      <c r="F39" s="10">
        <v>0.0</v>
      </c>
    </row>
    <row r="40">
      <c r="A40" s="2" t="s">
        <v>68</v>
      </c>
      <c r="B40" s="10">
        <v>40.0</v>
      </c>
      <c r="C40" s="10">
        <v>0.0</v>
      </c>
      <c r="D40" s="10">
        <v>6.0</v>
      </c>
      <c r="E40" s="10">
        <v>40.0</v>
      </c>
      <c r="F40" s="10">
        <v>0.0</v>
      </c>
    </row>
    <row r="41">
      <c r="A41" s="2" t="s">
        <v>69</v>
      </c>
      <c r="B41" s="10">
        <v>33.0</v>
      </c>
      <c r="C41" s="10">
        <v>1.0</v>
      </c>
      <c r="D41" s="10">
        <v>7.0</v>
      </c>
      <c r="E41" s="10">
        <v>32.0</v>
      </c>
      <c r="F41" s="10">
        <v>0.0</v>
      </c>
    </row>
    <row r="42">
      <c r="A42" s="2" t="s">
        <v>70</v>
      </c>
      <c r="B42" s="10">
        <v>30.0</v>
      </c>
      <c r="C42" s="10">
        <v>0.0</v>
      </c>
      <c r="D42" s="10">
        <v>3.0</v>
      </c>
      <c r="E42" s="10">
        <v>30.0</v>
      </c>
      <c r="F42" s="10">
        <v>0.0</v>
      </c>
    </row>
    <row r="43">
      <c r="A43" s="2" t="s">
        <v>71</v>
      </c>
      <c r="B43" s="10">
        <v>69.0</v>
      </c>
      <c r="C43" s="10">
        <v>0.0</v>
      </c>
      <c r="D43" s="10">
        <v>13.0</v>
      </c>
      <c r="E43" s="10">
        <v>69.0</v>
      </c>
      <c r="F43" s="10">
        <v>0.0</v>
      </c>
    </row>
    <row r="44">
      <c r="A44" s="2" t="s">
        <v>72</v>
      </c>
      <c r="B44" s="10">
        <v>143.0</v>
      </c>
      <c r="C44" s="10">
        <v>0.0</v>
      </c>
      <c r="D44" s="10">
        <v>21.0</v>
      </c>
      <c r="E44" s="10">
        <v>143.0</v>
      </c>
      <c r="F44" s="10">
        <v>0.0</v>
      </c>
    </row>
    <row r="45">
      <c r="A45" s="2" t="s">
        <v>73</v>
      </c>
      <c r="B45" s="10">
        <v>26.0</v>
      </c>
      <c r="C45" s="10">
        <v>0.0</v>
      </c>
      <c r="D45" s="10">
        <v>1.0</v>
      </c>
      <c r="E45" s="10">
        <v>26.0</v>
      </c>
      <c r="F45" s="10">
        <v>0.0</v>
      </c>
    </row>
    <row r="46">
      <c r="A46" s="2" t="s">
        <v>74</v>
      </c>
      <c r="B46" s="10">
        <v>9.0</v>
      </c>
      <c r="C46" s="10">
        <v>0.0</v>
      </c>
      <c r="D46" s="10">
        <v>0.0</v>
      </c>
      <c r="E46" s="10">
        <v>9.0</v>
      </c>
      <c r="F46" s="10">
        <v>0.0</v>
      </c>
    </row>
    <row r="47">
      <c r="A47" s="2" t="s">
        <v>75</v>
      </c>
      <c r="B47" s="10">
        <v>10.0</v>
      </c>
      <c r="C47" s="10">
        <v>0.0</v>
      </c>
      <c r="D47" s="10">
        <v>1.0</v>
      </c>
      <c r="E47" s="10">
        <v>10.0</v>
      </c>
      <c r="F47" s="10">
        <v>0.0</v>
      </c>
    </row>
    <row r="48">
      <c r="A48" s="2" t="s">
        <v>76</v>
      </c>
      <c r="B48" s="10">
        <v>7.0</v>
      </c>
      <c r="C48" s="10">
        <v>0.0</v>
      </c>
      <c r="D48" s="10">
        <v>0.0</v>
      </c>
      <c r="E48" s="10">
        <v>7.0</v>
      </c>
      <c r="F48" s="10">
        <v>0.0</v>
      </c>
    </row>
    <row r="49">
      <c r="A49" s="2" t="s">
        <v>77</v>
      </c>
      <c r="B49" s="10">
        <v>198.0</v>
      </c>
      <c r="C49" s="10">
        <v>0.0</v>
      </c>
      <c r="D49" s="10">
        <v>38.0</v>
      </c>
      <c r="E49" s="10">
        <v>198.0</v>
      </c>
      <c r="F49" s="10">
        <v>3.0</v>
      </c>
    </row>
    <row r="50">
      <c r="A50" s="2" t="s">
        <v>78</v>
      </c>
      <c r="B50" s="10">
        <v>63.0</v>
      </c>
      <c r="C50" s="10">
        <v>0.0</v>
      </c>
      <c r="D50" s="10">
        <v>6.0</v>
      </c>
      <c r="E50" s="10">
        <v>63.0</v>
      </c>
      <c r="F50" s="10">
        <v>0.0</v>
      </c>
    </row>
    <row r="51">
      <c r="A51" s="2" t="s">
        <v>79</v>
      </c>
      <c r="B51" s="10">
        <v>57.0</v>
      </c>
      <c r="C51" s="10">
        <v>0.0</v>
      </c>
      <c r="D51" s="10">
        <v>4.0</v>
      </c>
      <c r="E51" s="10">
        <v>57.0</v>
      </c>
      <c r="F51" s="10">
        <v>0.0</v>
      </c>
    </row>
    <row r="52">
      <c r="A52" s="2" t="s">
        <v>80</v>
      </c>
      <c r="B52" s="10">
        <v>41.0</v>
      </c>
      <c r="C52" s="10">
        <v>0.0</v>
      </c>
      <c r="D52" s="10">
        <v>4.0</v>
      </c>
      <c r="E52" s="10">
        <v>41.0</v>
      </c>
      <c r="F52" s="10">
        <v>0.0</v>
      </c>
    </row>
    <row r="53">
      <c r="A53" s="2" t="s">
        <v>81</v>
      </c>
      <c r="B53" s="10">
        <v>12.0</v>
      </c>
      <c r="C53" s="10">
        <v>0.0</v>
      </c>
      <c r="D53" s="10">
        <v>0.0</v>
      </c>
      <c r="E53" s="10">
        <v>12.0</v>
      </c>
      <c r="F53" s="10">
        <v>0.0</v>
      </c>
    </row>
    <row r="54">
      <c r="A54" s="2" t="s">
        <v>82</v>
      </c>
      <c r="B54" s="10">
        <v>4.0</v>
      </c>
      <c r="C54" s="10">
        <v>0.0</v>
      </c>
      <c r="D54" s="10">
        <v>0.0</v>
      </c>
      <c r="E54" s="10">
        <v>4.0</v>
      </c>
      <c r="F54" s="10">
        <v>0.0</v>
      </c>
    </row>
    <row r="55">
      <c r="A55" s="2" t="s">
        <v>83</v>
      </c>
      <c r="B55" s="10">
        <v>68.0</v>
      </c>
      <c r="C55" s="10">
        <v>1.0</v>
      </c>
      <c r="D55" s="10">
        <v>15.0</v>
      </c>
      <c r="E55" s="10">
        <v>68.0</v>
      </c>
      <c r="F55" s="10">
        <v>0.0</v>
      </c>
    </row>
    <row r="56">
      <c r="A56" s="2" t="s">
        <v>84</v>
      </c>
      <c r="B56" s="10">
        <v>955.0</v>
      </c>
      <c r="C56" s="10">
        <v>2.0</v>
      </c>
      <c r="D56" s="10">
        <v>138.0</v>
      </c>
      <c r="E56" s="10">
        <v>952.0</v>
      </c>
      <c r="F56" s="10">
        <v>3.0</v>
      </c>
    </row>
    <row r="57">
      <c r="A57" s="2" t="s">
        <v>85</v>
      </c>
      <c r="B57" s="10">
        <v>24.0</v>
      </c>
      <c r="C57" s="10">
        <v>0.0</v>
      </c>
      <c r="D57" s="10">
        <v>5.0</v>
      </c>
      <c r="E57" s="10">
        <v>24.0</v>
      </c>
      <c r="F57" s="10">
        <v>0.0</v>
      </c>
    </row>
    <row r="58">
      <c r="A58" s="2" t="s">
        <v>86</v>
      </c>
      <c r="B58" s="10">
        <v>104.0</v>
      </c>
      <c r="C58" s="10">
        <v>1.0</v>
      </c>
      <c r="D58" s="10">
        <v>45.0</v>
      </c>
      <c r="E58" s="10">
        <v>102.0</v>
      </c>
      <c r="F58" s="10">
        <v>2.0</v>
      </c>
    </row>
    <row r="59">
      <c r="A59" s="2" t="s">
        <v>87</v>
      </c>
      <c r="B59" s="10">
        <v>66.0</v>
      </c>
      <c r="C59" s="10">
        <v>0.0</v>
      </c>
      <c r="D59" s="10">
        <v>30.0</v>
      </c>
      <c r="E59" s="10">
        <v>66.0</v>
      </c>
      <c r="F59" s="10">
        <v>0.0</v>
      </c>
    </row>
    <row r="60">
      <c r="A60" s="2" t="s">
        <v>88</v>
      </c>
      <c r="B60" s="10">
        <v>14.0</v>
      </c>
      <c r="C60" s="10">
        <v>0.0</v>
      </c>
      <c r="D60" s="10">
        <v>6.0</v>
      </c>
      <c r="E60" s="10">
        <v>13.0</v>
      </c>
      <c r="F60" s="10">
        <v>0.0</v>
      </c>
    </row>
    <row r="61">
      <c r="A61" s="2" t="s">
        <v>89</v>
      </c>
      <c r="B61" s="10">
        <v>24.0</v>
      </c>
      <c r="C61" s="10">
        <v>1.0</v>
      </c>
      <c r="D61" s="10">
        <v>9.0</v>
      </c>
      <c r="E61" s="10">
        <v>23.0</v>
      </c>
      <c r="F61" s="10">
        <v>2.0</v>
      </c>
    </row>
    <row r="62">
      <c r="A62" s="2" t="s">
        <v>90</v>
      </c>
      <c r="B62" s="10">
        <v>68.0</v>
      </c>
      <c r="C62" s="10">
        <v>0.0</v>
      </c>
      <c r="D62" s="10">
        <v>42.0</v>
      </c>
      <c r="E62" s="10">
        <v>68.0</v>
      </c>
      <c r="F62" s="10">
        <v>0.0</v>
      </c>
    </row>
    <row r="63">
      <c r="A63" s="2" t="s">
        <v>91</v>
      </c>
      <c r="B63" s="10">
        <v>78.0</v>
      </c>
      <c r="C63" s="10">
        <v>1.0</v>
      </c>
      <c r="D63" s="10">
        <v>23.0</v>
      </c>
      <c r="E63" s="10">
        <v>77.0</v>
      </c>
      <c r="F63" s="10">
        <v>0.0</v>
      </c>
    </row>
    <row r="64">
      <c r="A64" s="2" t="s">
        <v>92</v>
      </c>
      <c r="B64" s="10">
        <v>73.0</v>
      </c>
      <c r="C64" s="10">
        <v>0.0</v>
      </c>
      <c r="D64" s="10">
        <v>24.0</v>
      </c>
      <c r="E64" s="10">
        <v>73.0</v>
      </c>
      <c r="F64" s="10">
        <v>0.0</v>
      </c>
    </row>
    <row r="65">
      <c r="A65" s="2" t="s">
        <v>93</v>
      </c>
      <c r="B65" s="10">
        <v>111.0</v>
      </c>
      <c r="C65" s="10">
        <v>0.0</v>
      </c>
      <c r="D65" s="10">
        <v>21.0</v>
      </c>
      <c r="E65" s="10">
        <v>111.0</v>
      </c>
      <c r="F65" s="10">
        <v>0.0</v>
      </c>
    </row>
    <row r="66">
      <c r="A66" s="2" t="s">
        <v>94</v>
      </c>
      <c r="B66" s="10">
        <v>53.0</v>
      </c>
      <c r="C66" s="10">
        <v>0.0</v>
      </c>
      <c r="D66" s="10">
        <v>26.0</v>
      </c>
      <c r="E66" s="10">
        <v>53.0</v>
      </c>
      <c r="F66" s="10">
        <v>0.0</v>
      </c>
    </row>
    <row r="67">
      <c r="A67" s="2" t="s">
        <v>95</v>
      </c>
      <c r="B67" s="10">
        <v>31.0</v>
      </c>
      <c r="C67" s="10">
        <v>0.0</v>
      </c>
      <c r="D67" s="10">
        <v>17.0</v>
      </c>
      <c r="E67" s="10">
        <v>31.0</v>
      </c>
      <c r="F67" s="10">
        <v>0.0</v>
      </c>
    </row>
    <row r="68">
      <c r="A68" s="2" t="s">
        <v>96</v>
      </c>
      <c r="B68" s="10">
        <v>10.0</v>
      </c>
      <c r="C68" s="10">
        <v>0.0</v>
      </c>
      <c r="D68" s="10">
        <v>6.0</v>
      </c>
      <c r="E68" s="10">
        <v>10.0</v>
      </c>
      <c r="F68" s="10">
        <v>0.0</v>
      </c>
    </row>
    <row r="69">
      <c r="A69" s="2" t="s">
        <v>97</v>
      </c>
      <c r="B69" s="10">
        <v>12.0</v>
      </c>
      <c r="C69" s="10">
        <v>0.0</v>
      </c>
      <c r="D69" s="10">
        <v>3.0</v>
      </c>
      <c r="E69" s="10">
        <v>12.0</v>
      </c>
      <c r="F69" s="10">
        <v>0.0</v>
      </c>
    </row>
    <row r="70">
      <c r="A70" s="2" t="s">
        <v>98</v>
      </c>
      <c r="B70" s="10">
        <v>75.0</v>
      </c>
      <c r="C70" s="10">
        <v>0.0</v>
      </c>
      <c r="D70" s="10">
        <v>38.0</v>
      </c>
      <c r="E70" s="10">
        <v>75.0</v>
      </c>
      <c r="F70" s="10">
        <v>0.0</v>
      </c>
    </row>
    <row r="71">
      <c r="A71" s="2" t="s">
        <v>99</v>
      </c>
      <c r="B71" s="10">
        <v>101.0</v>
      </c>
      <c r="C71" s="10">
        <v>0.0</v>
      </c>
      <c r="D71" s="10">
        <v>16.0</v>
      </c>
      <c r="E71" s="10">
        <v>100.0</v>
      </c>
      <c r="F71" s="10">
        <v>0.0</v>
      </c>
    </row>
    <row r="72">
      <c r="A72" s="2" t="s">
        <v>100</v>
      </c>
      <c r="B72" s="10">
        <v>687.0</v>
      </c>
      <c r="C72" s="10">
        <v>2.0</v>
      </c>
      <c r="D72" s="10">
        <v>240.0</v>
      </c>
      <c r="E72" s="10">
        <v>683.0</v>
      </c>
      <c r="F72" s="10">
        <v>2.0</v>
      </c>
    </row>
    <row r="73">
      <c r="A73" s="2" t="s">
        <v>101</v>
      </c>
      <c r="B73" s="10">
        <v>29.0</v>
      </c>
      <c r="C73" s="10">
        <v>1.0</v>
      </c>
      <c r="D73" s="10">
        <v>9.0</v>
      </c>
      <c r="E73" s="10">
        <v>28.0</v>
      </c>
      <c r="F73" s="10">
        <v>0.0</v>
      </c>
    </row>
    <row r="74">
      <c r="A74" s="2" t="s">
        <v>102</v>
      </c>
      <c r="B74" s="10">
        <v>138.0</v>
      </c>
      <c r="C74" s="10">
        <v>1.0</v>
      </c>
      <c r="D74" s="10">
        <v>32.0</v>
      </c>
      <c r="E74" s="10">
        <v>137.0</v>
      </c>
      <c r="F74" s="10">
        <v>0.0</v>
      </c>
    </row>
    <row r="75">
      <c r="A75" s="2" t="s">
        <v>103</v>
      </c>
      <c r="B75" s="10">
        <v>101.0</v>
      </c>
      <c r="C75" s="10">
        <v>2.0</v>
      </c>
      <c r="D75" s="10">
        <v>24.0</v>
      </c>
      <c r="E75" s="10">
        <v>99.0</v>
      </c>
      <c r="F75" s="10">
        <v>0.0</v>
      </c>
    </row>
    <row r="76">
      <c r="A76" s="2" t="s">
        <v>104</v>
      </c>
      <c r="B76" s="10">
        <v>90.0</v>
      </c>
      <c r="C76" s="10">
        <v>3.0</v>
      </c>
      <c r="D76" s="10">
        <v>20.0</v>
      </c>
      <c r="E76" s="10">
        <v>87.0</v>
      </c>
      <c r="F76" s="10">
        <v>0.0</v>
      </c>
    </row>
    <row r="77">
      <c r="A77" s="2" t="s">
        <v>105</v>
      </c>
      <c r="B77" s="10">
        <v>90.0</v>
      </c>
      <c r="C77" s="10">
        <v>1.0</v>
      </c>
      <c r="D77" s="10">
        <v>19.0</v>
      </c>
      <c r="E77" s="10">
        <v>89.0</v>
      </c>
      <c r="F77" s="10">
        <v>0.0</v>
      </c>
    </row>
    <row r="78">
      <c r="A78" s="2" t="s">
        <v>106</v>
      </c>
      <c r="B78" s="10">
        <v>84.0</v>
      </c>
      <c r="C78" s="10">
        <v>3.0</v>
      </c>
      <c r="D78" s="10">
        <v>17.0</v>
      </c>
      <c r="E78" s="10">
        <v>83.0</v>
      </c>
      <c r="F78" s="10">
        <v>2.0</v>
      </c>
    </row>
    <row r="79">
      <c r="A79" s="2" t="s">
        <v>107</v>
      </c>
      <c r="B79" s="10">
        <v>71.0</v>
      </c>
      <c r="C79" s="10">
        <v>4.0</v>
      </c>
      <c r="D79" s="10">
        <v>24.0</v>
      </c>
      <c r="E79" s="10">
        <v>68.0</v>
      </c>
      <c r="F79" s="10">
        <v>1.0</v>
      </c>
    </row>
    <row r="80">
      <c r="A80" s="2" t="s">
        <v>108</v>
      </c>
      <c r="B80" s="10">
        <v>37.0</v>
      </c>
      <c r="C80" s="10">
        <v>3.0</v>
      </c>
      <c r="D80" s="10">
        <v>11.0</v>
      </c>
      <c r="E80" s="10">
        <v>33.0</v>
      </c>
      <c r="F80" s="10">
        <v>0.0</v>
      </c>
    </row>
    <row r="81">
      <c r="A81" s="2" t="s">
        <v>109</v>
      </c>
      <c r="B81" s="10">
        <v>83.0</v>
      </c>
      <c r="C81" s="10">
        <v>6.0</v>
      </c>
      <c r="D81" s="10">
        <v>23.0</v>
      </c>
      <c r="E81" s="10">
        <v>79.0</v>
      </c>
      <c r="F81" s="10">
        <v>2.0</v>
      </c>
    </row>
    <row r="82">
      <c r="A82" s="2" t="s">
        <v>110</v>
      </c>
      <c r="B82" s="10">
        <v>45.0</v>
      </c>
      <c r="C82" s="10">
        <v>2.0</v>
      </c>
      <c r="D82" s="10">
        <v>8.0</v>
      </c>
      <c r="E82" s="10">
        <v>43.0</v>
      </c>
      <c r="F82" s="10">
        <v>0.0</v>
      </c>
    </row>
    <row r="83">
      <c r="A83" s="2" t="s">
        <v>111</v>
      </c>
      <c r="B83" s="10">
        <v>768.0</v>
      </c>
      <c r="C83" s="10">
        <v>26.0</v>
      </c>
      <c r="D83" s="10">
        <v>187.0</v>
      </c>
      <c r="E83" s="10">
        <v>746.0</v>
      </c>
      <c r="F83" s="10">
        <v>5.0</v>
      </c>
    </row>
    <row r="84">
      <c r="A84" s="2" t="s">
        <v>112</v>
      </c>
      <c r="B84" s="10">
        <v>103.0</v>
      </c>
      <c r="C84" s="10">
        <v>0.0</v>
      </c>
      <c r="D84" s="10">
        <v>26.0</v>
      </c>
      <c r="E84" s="10">
        <v>103.0</v>
      </c>
      <c r="F84" s="10">
        <v>0.0</v>
      </c>
    </row>
    <row r="85">
      <c r="A85" s="2" t="s">
        <v>113</v>
      </c>
      <c r="B85" s="10">
        <v>140.0</v>
      </c>
      <c r="C85" s="10">
        <v>1.0</v>
      </c>
      <c r="D85" s="10">
        <v>39.0</v>
      </c>
      <c r="E85" s="10">
        <v>138.0</v>
      </c>
      <c r="F85" s="10">
        <v>0.0</v>
      </c>
    </row>
    <row r="86">
      <c r="A86" s="2" t="s">
        <v>114</v>
      </c>
      <c r="B86" s="10">
        <v>110.0</v>
      </c>
      <c r="C86" s="10">
        <v>1.0</v>
      </c>
      <c r="D86" s="10">
        <v>29.0</v>
      </c>
      <c r="E86" s="10">
        <v>110.0</v>
      </c>
      <c r="F86" s="10">
        <v>1.0</v>
      </c>
    </row>
    <row r="87">
      <c r="A87" s="2" t="s">
        <v>115</v>
      </c>
      <c r="B87" s="10">
        <v>353.0</v>
      </c>
      <c r="C87" s="10">
        <v>2.0</v>
      </c>
      <c r="D87" s="10">
        <v>94.0</v>
      </c>
      <c r="E87" s="10">
        <v>351.0</v>
      </c>
      <c r="F87" s="10">
        <v>1.0</v>
      </c>
    </row>
    <row r="88">
      <c r="A88" s="2" t="s">
        <v>116</v>
      </c>
      <c r="B88" s="10">
        <v>88.0</v>
      </c>
      <c r="C88" s="10">
        <v>2.0</v>
      </c>
      <c r="D88" s="10">
        <v>22.0</v>
      </c>
      <c r="E88" s="10">
        <v>86.0</v>
      </c>
      <c r="F88" s="10">
        <v>0.0</v>
      </c>
    </row>
    <row r="89">
      <c r="A89" s="2" t="s">
        <v>117</v>
      </c>
      <c r="B89" s="10">
        <v>100.0</v>
      </c>
      <c r="C89" s="10">
        <v>0.0</v>
      </c>
      <c r="D89" s="10">
        <v>41.0</v>
      </c>
      <c r="E89" s="10">
        <v>99.0</v>
      </c>
      <c r="F89" s="10">
        <v>0.0</v>
      </c>
    </row>
    <row r="90">
      <c r="A90" s="2" t="s">
        <v>118</v>
      </c>
      <c r="B90" s="10">
        <v>188.0</v>
      </c>
      <c r="C90" s="10">
        <v>2.0</v>
      </c>
      <c r="D90" s="10">
        <v>63.0</v>
      </c>
      <c r="E90" s="10">
        <v>185.0</v>
      </c>
      <c r="F90" s="10">
        <v>0.0</v>
      </c>
    </row>
    <row r="91">
      <c r="A91" s="2" t="s">
        <v>119</v>
      </c>
      <c r="B91" s="10">
        <v>4516.0</v>
      </c>
      <c r="C91" s="10">
        <v>45.0</v>
      </c>
      <c r="D91" s="10">
        <v>1178.0</v>
      </c>
      <c r="E91" s="10">
        <v>4472.0</v>
      </c>
      <c r="F91" s="10">
        <v>14.0</v>
      </c>
    </row>
    <row r="92">
      <c r="A92" s="2"/>
      <c r="B92" s="10"/>
      <c r="C92" s="10"/>
      <c r="D92" s="10"/>
      <c r="E92" s="10"/>
      <c r="F92" s="10"/>
    </row>
    <row r="93">
      <c r="A93" s="5"/>
      <c r="B93" s="5"/>
      <c r="C93" s="5"/>
      <c r="D93" s="5"/>
      <c r="E93" s="5"/>
      <c r="F93" s="5"/>
    </row>
    <row r="94">
      <c r="A94" s="2" t="s">
        <v>120</v>
      </c>
      <c r="B94" s="5"/>
      <c r="C94" s="5"/>
      <c r="D94" s="5"/>
      <c r="E94" s="5"/>
      <c r="F94" s="5"/>
    </row>
    <row r="95">
      <c r="A95" s="2" t="s">
        <v>132</v>
      </c>
      <c r="B95" s="2"/>
      <c r="C95" s="2"/>
      <c r="D95" s="2"/>
      <c r="E95" s="2"/>
      <c r="F95" s="2"/>
    </row>
    <row r="96">
      <c r="A96" s="2" t="s">
        <v>133</v>
      </c>
      <c r="B96" s="2"/>
      <c r="C96" s="2"/>
      <c r="D96" s="2"/>
      <c r="E96" s="2"/>
      <c r="F96" s="2"/>
    </row>
    <row r="97">
      <c r="A97" s="2" t="s">
        <v>134</v>
      </c>
      <c r="B97" s="2"/>
      <c r="C97" s="2"/>
      <c r="D97" s="2"/>
      <c r="E97" s="2"/>
      <c r="F97" s="2"/>
    </row>
    <row r="98">
      <c r="A98" s="2" t="s">
        <v>135</v>
      </c>
      <c r="B98" s="2"/>
      <c r="C98" s="2"/>
      <c r="D98" s="2"/>
      <c r="E98" s="2"/>
      <c r="F98" s="2"/>
    </row>
    <row r="99">
      <c r="A99" s="2"/>
    </row>
  </sheetData>
  <mergeCells count="1">
    <mergeCell ref="A99:F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</cols>
  <sheetData>
    <row r="1">
      <c r="A1" s="1" t="s">
        <v>2</v>
      </c>
      <c r="B1" s="4"/>
      <c r="C1" s="4"/>
      <c r="D1" s="7"/>
      <c r="E1" s="7"/>
      <c r="F1" s="7"/>
    </row>
    <row r="2">
      <c r="A2" s="1" t="s">
        <v>3</v>
      </c>
      <c r="B2" s="4"/>
      <c r="C2" s="7"/>
      <c r="D2" s="7"/>
      <c r="E2" s="7"/>
      <c r="F2" s="7"/>
    </row>
    <row r="3">
      <c r="A3" s="1" t="s">
        <v>5</v>
      </c>
      <c r="B3" s="4"/>
      <c r="C3" s="4"/>
      <c r="D3" s="7"/>
      <c r="E3" s="7"/>
      <c r="F3" s="7"/>
    </row>
    <row r="4">
      <c r="A4" s="7"/>
      <c r="B4" s="7"/>
      <c r="C4" s="7"/>
      <c r="D4" s="7"/>
      <c r="E4" s="7"/>
      <c r="F4" s="7"/>
    </row>
    <row r="5">
      <c r="A5" s="1" t="s">
        <v>6</v>
      </c>
      <c r="B5" s="4"/>
      <c r="C5" s="4"/>
      <c r="D5" s="4"/>
      <c r="E5" s="4"/>
      <c r="F5" s="4"/>
    </row>
    <row r="6">
      <c r="A6" s="1" t="s">
        <v>156</v>
      </c>
      <c r="B6" s="4"/>
      <c r="C6" s="4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</row>
    <row r="9">
      <c r="A9" s="1" t="s">
        <v>16</v>
      </c>
      <c r="B9" s="9">
        <v>0.0</v>
      </c>
      <c r="C9" s="9">
        <v>0.0</v>
      </c>
      <c r="D9" s="9">
        <v>0.0</v>
      </c>
      <c r="E9" s="9">
        <v>0.0</v>
      </c>
      <c r="F9" s="9">
        <v>0.0</v>
      </c>
    </row>
    <row r="10">
      <c r="A10" s="1" t="s">
        <v>15</v>
      </c>
      <c r="B10" s="9">
        <v>22.0</v>
      </c>
      <c r="C10" s="9">
        <v>0.0</v>
      </c>
      <c r="D10" s="9">
        <v>10.0</v>
      </c>
      <c r="E10" s="9">
        <v>22.0</v>
      </c>
      <c r="F10" s="9">
        <v>0.0</v>
      </c>
    </row>
    <row r="11">
      <c r="A11" s="1" t="s">
        <v>17</v>
      </c>
      <c r="B11" s="9">
        <v>2.0</v>
      </c>
      <c r="C11" s="9">
        <v>0.0</v>
      </c>
      <c r="D11" s="9">
        <v>0.0</v>
      </c>
      <c r="E11" s="9">
        <v>2.0</v>
      </c>
      <c r="F11" s="9">
        <v>0.0</v>
      </c>
    </row>
    <row r="12">
      <c r="A12" s="1" t="s">
        <v>19</v>
      </c>
      <c r="B12" s="9">
        <v>24.0</v>
      </c>
      <c r="C12" s="9">
        <v>0.0</v>
      </c>
      <c r="D12" s="9">
        <v>10.0</v>
      </c>
      <c r="E12" s="9">
        <v>24.0</v>
      </c>
      <c r="F12" s="9">
        <v>0.0</v>
      </c>
    </row>
    <row r="13">
      <c r="A13" s="1" t="s">
        <v>24</v>
      </c>
      <c r="B13" s="9">
        <v>98.0</v>
      </c>
      <c r="C13" s="9">
        <v>0.0</v>
      </c>
      <c r="D13" s="9">
        <v>34.0</v>
      </c>
      <c r="E13" s="9">
        <v>98.0</v>
      </c>
      <c r="F13" s="9">
        <v>0.0</v>
      </c>
    </row>
    <row r="14">
      <c r="A14" s="1" t="s">
        <v>25</v>
      </c>
      <c r="B14" s="9">
        <v>55.0</v>
      </c>
      <c r="C14" s="9">
        <v>0.0</v>
      </c>
      <c r="D14" s="9">
        <v>9.0</v>
      </c>
      <c r="E14" s="9">
        <v>55.0</v>
      </c>
      <c r="F14" s="9">
        <v>0.0</v>
      </c>
    </row>
    <row r="15">
      <c r="A15" s="1" t="s">
        <v>26</v>
      </c>
      <c r="B15" s="9">
        <v>75.0</v>
      </c>
      <c r="C15" s="9">
        <v>0.0</v>
      </c>
      <c r="D15" s="9">
        <v>18.0</v>
      </c>
      <c r="E15" s="9">
        <v>75.0</v>
      </c>
      <c r="F15" s="9">
        <v>0.0</v>
      </c>
    </row>
    <row r="16">
      <c r="A16" s="1" t="s">
        <v>27</v>
      </c>
      <c r="B16" s="9">
        <v>64.0</v>
      </c>
      <c r="C16" s="9">
        <v>0.0</v>
      </c>
      <c r="D16" s="9">
        <v>8.0</v>
      </c>
      <c r="E16" s="9">
        <v>64.0</v>
      </c>
      <c r="F16" s="9">
        <v>0.0</v>
      </c>
    </row>
    <row r="17">
      <c r="A17" s="1" t="s">
        <v>18</v>
      </c>
      <c r="B17" s="9">
        <v>69.0</v>
      </c>
      <c r="C17" s="9">
        <v>0.0</v>
      </c>
      <c r="D17" s="9">
        <v>15.0</v>
      </c>
      <c r="E17" s="9">
        <v>69.0</v>
      </c>
      <c r="F17" s="9">
        <v>0.0</v>
      </c>
    </row>
    <row r="18">
      <c r="A18" s="1" t="s">
        <v>28</v>
      </c>
      <c r="B18" s="9">
        <v>146.0</v>
      </c>
      <c r="C18" s="9">
        <v>0.0</v>
      </c>
      <c r="D18" s="9">
        <v>32.0</v>
      </c>
      <c r="E18" s="9">
        <v>146.0</v>
      </c>
      <c r="F18" s="9">
        <v>0.0</v>
      </c>
    </row>
    <row r="19">
      <c r="A19" s="1" t="s">
        <v>29</v>
      </c>
      <c r="B19" s="9">
        <v>83.0</v>
      </c>
      <c r="C19" s="9">
        <v>1.0</v>
      </c>
      <c r="D19" s="9">
        <v>26.0</v>
      </c>
      <c r="E19" s="9">
        <v>82.0</v>
      </c>
      <c r="F19" s="9">
        <v>0.0</v>
      </c>
    </row>
    <row r="20">
      <c r="A20" s="1" t="s">
        <v>31</v>
      </c>
      <c r="B20" s="9">
        <v>590.0</v>
      </c>
      <c r="C20" s="9">
        <v>1.0</v>
      </c>
      <c r="D20" s="9">
        <v>142.0</v>
      </c>
      <c r="E20" s="9">
        <v>589.0</v>
      </c>
      <c r="F20" s="9">
        <v>0.0</v>
      </c>
    </row>
    <row r="21">
      <c r="A21" s="1" t="s">
        <v>32</v>
      </c>
      <c r="B21" s="9">
        <v>96.0</v>
      </c>
      <c r="C21" s="9">
        <v>2.0</v>
      </c>
      <c r="D21" s="9">
        <v>30.0</v>
      </c>
      <c r="E21" s="9">
        <v>94.0</v>
      </c>
      <c r="F21" s="9">
        <v>0.0</v>
      </c>
    </row>
    <row r="22">
      <c r="A22" s="1" t="s">
        <v>33</v>
      </c>
      <c r="B22" s="9">
        <v>83.0</v>
      </c>
      <c r="C22" s="9">
        <v>0.0</v>
      </c>
      <c r="D22" s="9">
        <v>15.0</v>
      </c>
      <c r="E22" s="9">
        <v>83.0</v>
      </c>
      <c r="F22" s="9">
        <v>0.0</v>
      </c>
    </row>
    <row r="23">
      <c r="A23" s="1" t="s">
        <v>34</v>
      </c>
      <c r="B23" s="9">
        <v>83.0</v>
      </c>
      <c r="C23" s="9">
        <v>1.0</v>
      </c>
      <c r="D23" s="9">
        <v>29.0</v>
      </c>
      <c r="E23" s="9">
        <v>83.0</v>
      </c>
      <c r="F23" s="9">
        <v>1.0</v>
      </c>
    </row>
    <row r="24">
      <c r="A24" s="1" t="s">
        <v>36</v>
      </c>
      <c r="B24" s="9">
        <v>92.0</v>
      </c>
      <c r="C24" s="9">
        <v>1.0</v>
      </c>
      <c r="D24" s="9">
        <v>39.0</v>
      </c>
      <c r="E24" s="9">
        <v>91.0</v>
      </c>
      <c r="F24" s="9">
        <v>0.0</v>
      </c>
    </row>
    <row r="25">
      <c r="A25" s="1" t="s">
        <v>37</v>
      </c>
      <c r="B25" s="9">
        <v>354.0</v>
      </c>
      <c r="C25" s="9">
        <v>4.0</v>
      </c>
      <c r="D25" s="9">
        <v>113.0</v>
      </c>
      <c r="E25" s="9">
        <v>351.0</v>
      </c>
      <c r="F25" s="9">
        <v>1.0</v>
      </c>
    </row>
    <row r="26">
      <c r="A26" s="1" t="s">
        <v>40</v>
      </c>
      <c r="B26" s="9">
        <v>180.0</v>
      </c>
      <c r="C26" s="9">
        <v>0.0</v>
      </c>
      <c r="D26" s="9">
        <v>60.0</v>
      </c>
      <c r="E26" s="9">
        <v>180.0</v>
      </c>
      <c r="F26" s="9">
        <v>0.0</v>
      </c>
    </row>
    <row r="27">
      <c r="A27" s="1" t="s">
        <v>44</v>
      </c>
      <c r="B27" s="9">
        <v>185.0</v>
      </c>
      <c r="C27" s="9">
        <v>2.0</v>
      </c>
      <c r="D27" s="9">
        <v>60.0</v>
      </c>
      <c r="E27" s="9">
        <v>182.0</v>
      </c>
      <c r="F27" s="9">
        <v>0.0</v>
      </c>
    </row>
    <row r="28">
      <c r="A28" s="1" t="s">
        <v>48</v>
      </c>
      <c r="B28" s="9">
        <v>106.0</v>
      </c>
      <c r="C28" s="9">
        <v>1.0</v>
      </c>
      <c r="D28" s="9">
        <v>32.0</v>
      </c>
      <c r="E28" s="9">
        <v>104.0</v>
      </c>
      <c r="F28" s="9">
        <v>0.0</v>
      </c>
    </row>
    <row r="29">
      <c r="A29" s="1" t="s">
        <v>52</v>
      </c>
      <c r="B29" s="9">
        <v>471.0</v>
      </c>
      <c r="C29" s="9">
        <v>3.0</v>
      </c>
      <c r="D29" s="9">
        <v>152.0</v>
      </c>
      <c r="E29" s="9">
        <v>466.0</v>
      </c>
      <c r="F29" s="9">
        <v>0.0</v>
      </c>
    </row>
    <row r="30">
      <c r="A30" s="1" t="s">
        <v>54</v>
      </c>
      <c r="B30" s="9">
        <v>95.0</v>
      </c>
      <c r="C30" s="9">
        <v>2.0</v>
      </c>
      <c r="D30" s="9">
        <v>31.0</v>
      </c>
      <c r="E30" s="9">
        <v>93.0</v>
      </c>
      <c r="F30" s="9">
        <v>0.0</v>
      </c>
    </row>
    <row r="31">
      <c r="A31" s="1" t="s">
        <v>58</v>
      </c>
      <c r="B31" s="9">
        <v>75.0</v>
      </c>
      <c r="C31" s="9">
        <v>1.0</v>
      </c>
      <c r="D31" s="9">
        <v>22.0</v>
      </c>
      <c r="E31" s="9">
        <v>75.0</v>
      </c>
      <c r="F31" s="9">
        <v>2.0</v>
      </c>
    </row>
    <row r="32">
      <c r="A32" s="1" t="s">
        <v>60</v>
      </c>
      <c r="B32" s="9">
        <v>170.0</v>
      </c>
      <c r="C32" s="9">
        <v>3.0</v>
      </c>
      <c r="D32" s="9">
        <v>53.0</v>
      </c>
      <c r="E32" s="9">
        <v>168.0</v>
      </c>
      <c r="F32" s="9">
        <v>2.0</v>
      </c>
    </row>
    <row r="33">
      <c r="A33" s="1" t="s">
        <v>61</v>
      </c>
      <c r="B33" s="9">
        <v>71.0</v>
      </c>
      <c r="C33" s="9">
        <v>0.0</v>
      </c>
      <c r="D33" s="9">
        <v>5.0</v>
      </c>
      <c r="E33" s="9">
        <v>71.0</v>
      </c>
      <c r="F33" s="9">
        <v>0.0</v>
      </c>
    </row>
    <row r="34">
      <c r="A34" s="1" t="s">
        <v>62</v>
      </c>
      <c r="B34" s="9">
        <v>40.0</v>
      </c>
      <c r="C34" s="9">
        <v>0.0</v>
      </c>
      <c r="D34" s="9">
        <v>4.0</v>
      </c>
      <c r="E34" s="9">
        <v>40.0</v>
      </c>
      <c r="F34" s="9">
        <v>0.0</v>
      </c>
    </row>
    <row r="35">
      <c r="A35" s="1" t="s">
        <v>63</v>
      </c>
      <c r="B35" s="9">
        <v>61.0</v>
      </c>
      <c r="C35" s="9">
        <v>0.0</v>
      </c>
      <c r="D35" s="9">
        <v>8.0</v>
      </c>
      <c r="E35" s="9">
        <v>60.0</v>
      </c>
      <c r="F35" s="9">
        <v>0.0</v>
      </c>
    </row>
    <row r="36">
      <c r="A36" s="1" t="s">
        <v>64</v>
      </c>
      <c r="B36" s="9">
        <v>62.0</v>
      </c>
      <c r="C36" s="9">
        <v>0.0</v>
      </c>
      <c r="D36" s="9">
        <v>11.0</v>
      </c>
      <c r="E36" s="9">
        <v>61.0</v>
      </c>
      <c r="F36" s="9">
        <v>0.0</v>
      </c>
    </row>
    <row r="37">
      <c r="A37" s="1" t="s">
        <v>65</v>
      </c>
      <c r="B37" s="9">
        <v>45.0</v>
      </c>
      <c r="C37" s="9">
        <v>0.0</v>
      </c>
      <c r="D37" s="9">
        <v>6.0</v>
      </c>
      <c r="E37" s="9">
        <v>45.0</v>
      </c>
      <c r="F37" s="9">
        <v>0.0</v>
      </c>
    </row>
    <row r="38">
      <c r="A38" s="1" t="s">
        <v>66</v>
      </c>
      <c r="B38" s="9">
        <v>9.0</v>
      </c>
      <c r="C38" s="9">
        <v>0.0</v>
      </c>
      <c r="D38" s="9">
        <v>3.0</v>
      </c>
      <c r="E38" s="9">
        <v>9.0</v>
      </c>
      <c r="F38" s="9">
        <v>0.0</v>
      </c>
    </row>
    <row r="39">
      <c r="A39" s="1" t="s">
        <v>67</v>
      </c>
      <c r="B39" s="9">
        <v>8.0</v>
      </c>
      <c r="C39" s="9">
        <v>0.0</v>
      </c>
      <c r="D39" s="9">
        <v>2.0</v>
      </c>
      <c r="E39" s="9">
        <v>7.0</v>
      </c>
      <c r="F39" s="9">
        <v>0.0</v>
      </c>
    </row>
    <row r="40">
      <c r="A40" s="1" t="s">
        <v>68</v>
      </c>
      <c r="B40" s="9">
        <v>40.0</v>
      </c>
      <c r="C40" s="9">
        <v>0.0</v>
      </c>
      <c r="D40" s="9">
        <v>5.0</v>
      </c>
      <c r="E40" s="9">
        <v>40.0</v>
      </c>
      <c r="F40" s="9">
        <v>0.0</v>
      </c>
    </row>
    <row r="41">
      <c r="A41" s="1" t="s">
        <v>69</v>
      </c>
      <c r="B41" s="9">
        <v>36.0</v>
      </c>
      <c r="C41" s="9">
        <v>1.0</v>
      </c>
      <c r="D41" s="9">
        <v>8.0</v>
      </c>
      <c r="E41" s="9">
        <v>35.0</v>
      </c>
      <c r="F41" s="9">
        <v>0.0</v>
      </c>
    </row>
    <row r="42">
      <c r="A42" s="1" t="s">
        <v>70</v>
      </c>
      <c r="B42" s="9">
        <v>32.0</v>
      </c>
      <c r="C42" s="9">
        <v>0.0</v>
      </c>
      <c r="D42" s="9">
        <v>4.0</v>
      </c>
      <c r="E42" s="9">
        <v>32.0</v>
      </c>
      <c r="F42" s="9">
        <v>0.0</v>
      </c>
    </row>
    <row r="43">
      <c r="A43" s="1" t="s">
        <v>71</v>
      </c>
      <c r="B43" s="9">
        <v>67.0</v>
      </c>
      <c r="C43" s="9">
        <v>0.0</v>
      </c>
      <c r="D43" s="9">
        <v>12.0</v>
      </c>
      <c r="E43" s="9">
        <v>67.0</v>
      </c>
      <c r="F43" s="9">
        <v>0.0</v>
      </c>
    </row>
    <row r="44">
      <c r="A44" s="1" t="s">
        <v>72</v>
      </c>
      <c r="B44" s="9">
        <v>141.0</v>
      </c>
      <c r="C44" s="9">
        <v>0.0</v>
      </c>
      <c r="D44" s="9">
        <v>21.0</v>
      </c>
      <c r="E44" s="9">
        <v>141.0</v>
      </c>
      <c r="F44" s="9">
        <v>0.0</v>
      </c>
    </row>
    <row r="45">
      <c r="A45" s="1" t="s">
        <v>73</v>
      </c>
      <c r="B45" s="9">
        <v>27.0</v>
      </c>
      <c r="C45" s="9">
        <v>0.0</v>
      </c>
      <c r="D45" s="9">
        <v>1.0</v>
      </c>
      <c r="E45" s="9">
        <v>27.0</v>
      </c>
      <c r="F45" s="9">
        <v>0.0</v>
      </c>
    </row>
    <row r="46">
      <c r="A46" s="1" t="s">
        <v>74</v>
      </c>
      <c r="B46" s="9">
        <v>10.0</v>
      </c>
      <c r="C46" s="9">
        <v>0.0</v>
      </c>
      <c r="D46" s="9">
        <v>0.0</v>
      </c>
      <c r="E46" s="9">
        <v>10.0</v>
      </c>
      <c r="F46" s="9">
        <v>0.0</v>
      </c>
    </row>
    <row r="47">
      <c r="A47" s="1" t="s">
        <v>75</v>
      </c>
      <c r="B47" s="9">
        <v>10.0</v>
      </c>
      <c r="C47" s="9">
        <v>0.0</v>
      </c>
      <c r="D47" s="9">
        <v>1.0</v>
      </c>
      <c r="E47" s="9">
        <v>10.0</v>
      </c>
      <c r="F47" s="9">
        <v>0.0</v>
      </c>
    </row>
    <row r="48">
      <c r="A48" s="1" t="s">
        <v>76</v>
      </c>
      <c r="B48" s="9">
        <v>7.0</v>
      </c>
      <c r="C48" s="9">
        <v>0.0</v>
      </c>
      <c r="D48" s="9">
        <v>0.0</v>
      </c>
      <c r="E48" s="9">
        <v>7.0</v>
      </c>
      <c r="F48" s="9">
        <v>0.0</v>
      </c>
    </row>
    <row r="49">
      <c r="A49" s="1" t="s">
        <v>77</v>
      </c>
      <c r="B49" s="9">
        <v>196.0</v>
      </c>
      <c r="C49" s="9">
        <v>0.0</v>
      </c>
      <c r="D49" s="9">
        <v>35.0</v>
      </c>
      <c r="E49" s="9">
        <v>196.0</v>
      </c>
      <c r="F49" s="9">
        <v>0.0</v>
      </c>
    </row>
    <row r="50">
      <c r="A50" s="1" t="s">
        <v>78</v>
      </c>
      <c r="B50" s="9">
        <v>64.0</v>
      </c>
      <c r="C50" s="9">
        <v>0.0</v>
      </c>
      <c r="D50" s="9">
        <v>6.0</v>
      </c>
      <c r="E50" s="9">
        <v>64.0</v>
      </c>
      <c r="F50" s="9">
        <v>0.0</v>
      </c>
    </row>
    <row r="51">
      <c r="A51" s="1" t="s">
        <v>79</v>
      </c>
      <c r="B51" s="9">
        <v>56.0</v>
      </c>
      <c r="C51" s="9">
        <v>0.0</v>
      </c>
      <c r="D51" s="9">
        <v>4.0</v>
      </c>
      <c r="E51" s="9">
        <v>56.0</v>
      </c>
      <c r="F51" s="9">
        <v>0.0</v>
      </c>
    </row>
    <row r="52">
      <c r="A52" s="1" t="s">
        <v>80</v>
      </c>
      <c r="B52" s="9">
        <v>40.0</v>
      </c>
      <c r="C52" s="9">
        <v>0.0</v>
      </c>
      <c r="D52" s="9">
        <v>4.0</v>
      </c>
      <c r="E52" s="9">
        <v>40.0</v>
      </c>
      <c r="F52" s="9">
        <v>0.0</v>
      </c>
    </row>
    <row r="53">
      <c r="A53" s="1" t="s">
        <v>81</v>
      </c>
      <c r="B53" s="9">
        <v>12.0</v>
      </c>
      <c r="C53" s="9">
        <v>0.0</v>
      </c>
      <c r="D53" s="9">
        <v>0.0</v>
      </c>
      <c r="E53" s="9">
        <v>12.0</v>
      </c>
      <c r="F53" s="9">
        <v>0.0</v>
      </c>
    </row>
    <row r="54">
      <c r="A54" s="1" t="s">
        <v>82</v>
      </c>
      <c r="B54" s="9">
        <v>4.0</v>
      </c>
      <c r="C54" s="9">
        <v>0.0</v>
      </c>
      <c r="D54" s="9">
        <v>0.0</v>
      </c>
      <c r="E54" s="9">
        <v>4.0</v>
      </c>
      <c r="F54" s="9">
        <v>0.0</v>
      </c>
    </row>
    <row r="55">
      <c r="A55" s="1" t="s">
        <v>83</v>
      </c>
      <c r="B55" s="9">
        <v>67.0</v>
      </c>
      <c r="C55" s="9">
        <v>1.0</v>
      </c>
      <c r="D55" s="9">
        <v>12.0</v>
      </c>
      <c r="E55" s="9">
        <v>67.0</v>
      </c>
      <c r="F55" s="9">
        <v>0.0</v>
      </c>
    </row>
    <row r="56">
      <c r="A56" s="1" t="s">
        <v>84</v>
      </c>
      <c r="B56" s="9">
        <v>960.0</v>
      </c>
      <c r="C56" s="9">
        <v>2.0</v>
      </c>
      <c r="D56" s="9">
        <v>136.0</v>
      </c>
      <c r="E56" s="9">
        <v>957.0</v>
      </c>
      <c r="F56" s="9">
        <v>0.0</v>
      </c>
    </row>
    <row r="57">
      <c r="A57" s="1" t="s">
        <v>85</v>
      </c>
      <c r="B57" s="9">
        <v>26.0</v>
      </c>
      <c r="C57" s="9">
        <v>0.0</v>
      </c>
      <c r="D57" s="9">
        <v>6.0</v>
      </c>
      <c r="E57" s="9">
        <v>26.0</v>
      </c>
      <c r="F57" s="9">
        <v>0.0</v>
      </c>
    </row>
    <row r="58">
      <c r="A58" s="1" t="s">
        <v>86</v>
      </c>
      <c r="B58" s="9">
        <v>103.0</v>
      </c>
      <c r="C58" s="9">
        <v>0.0</v>
      </c>
      <c r="D58" s="9">
        <v>44.0</v>
      </c>
      <c r="E58" s="9">
        <v>102.0</v>
      </c>
      <c r="F58" s="9">
        <v>2.0</v>
      </c>
    </row>
    <row r="59">
      <c r="A59" s="1" t="s">
        <v>87</v>
      </c>
      <c r="B59" s="9">
        <v>63.0</v>
      </c>
      <c r="C59" s="9">
        <v>0.0</v>
      </c>
      <c r="D59" s="9">
        <v>27.0</v>
      </c>
      <c r="E59" s="9">
        <v>63.0</v>
      </c>
      <c r="F59" s="9">
        <v>0.0</v>
      </c>
    </row>
    <row r="60">
      <c r="A60" s="1" t="s">
        <v>88</v>
      </c>
      <c r="B60" s="9">
        <v>14.0</v>
      </c>
      <c r="C60" s="9">
        <v>0.0</v>
      </c>
      <c r="D60" s="9">
        <v>6.0</v>
      </c>
      <c r="E60" s="9">
        <v>14.0</v>
      </c>
      <c r="F60" s="9">
        <v>0.0</v>
      </c>
    </row>
    <row r="61">
      <c r="A61" s="1" t="s">
        <v>89</v>
      </c>
      <c r="B61" s="9">
        <v>26.0</v>
      </c>
      <c r="C61" s="9">
        <v>0.0</v>
      </c>
      <c r="D61" s="9">
        <v>11.0</v>
      </c>
      <c r="E61" s="9">
        <v>25.0</v>
      </c>
      <c r="F61" s="9">
        <v>2.0</v>
      </c>
    </row>
    <row r="62">
      <c r="A62" s="1" t="s">
        <v>90</v>
      </c>
      <c r="B62" s="9">
        <v>71.0</v>
      </c>
      <c r="C62" s="9">
        <v>1.0</v>
      </c>
      <c r="D62" s="9">
        <v>43.0</v>
      </c>
      <c r="E62" s="9">
        <v>71.0</v>
      </c>
      <c r="F62" s="9">
        <v>1.0</v>
      </c>
    </row>
    <row r="63">
      <c r="A63" s="1" t="s">
        <v>91</v>
      </c>
      <c r="B63" s="9">
        <v>77.0</v>
      </c>
      <c r="C63" s="9">
        <v>0.0</v>
      </c>
      <c r="D63" s="9">
        <v>24.0</v>
      </c>
      <c r="E63" s="9">
        <v>77.0</v>
      </c>
      <c r="F63" s="9">
        <v>0.0</v>
      </c>
    </row>
    <row r="64">
      <c r="A64" s="1" t="s">
        <v>92</v>
      </c>
      <c r="B64" s="9">
        <v>76.0</v>
      </c>
      <c r="C64" s="9">
        <v>0.0</v>
      </c>
      <c r="D64" s="9">
        <v>24.0</v>
      </c>
      <c r="E64" s="9">
        <v>76.0</v>
      </c>
      <c r="F64" s="9">
        <v>0.0</v>
      </c>
    </row>
    <row r="65">
      <c r="A65" s="1" t="s">
        <v>93</v>
      </c>
      <c r="B65" s="9">
        <v>112.0</v>
      </c>
      <c r="C65" s="9">
        <v>0.0</v>
      </c>
      <c r="D65" s="9">
        <v>21.0</v>
      </c>
      <c r="E65" s="9">
        <v>112.0</v>
      </c>
      <c r="F65" s="9">
        <v>0.0</v>
      </c>
    </row>
    <row r="66">
      <c r="A66" s="1" t="s">
        <v>94</v>
      </c>
      <c r="B66" s="9">
        <v>40.0</v>
      </c>
      <c r="C66" s="9">
        <v>0.0</v>
      </c>
      <c r="D66" s="9">
        <v>23.0</v>
      </c>
      <c r="E66" s="9">
        <v>40.0</v>
      </c>
      <c r="F66" s="9">
        <v>0.0</v>
      </c>
    </row>
    <row r="67">
      <c r="A67" s="1" t="s">
        <v>95</v>
      </c>
      <c r="B67" s="9">
        <v>35.0</v>
      </c>
      <c r="C67" s="9">
        <v>0.0</v>
      </c>
      <c r="D67" s="9">
        <v>20.0</v>
      </c>
      <c r="E67" s="9">
        <v>35.0</v>
      </c>
      <c r="F67" s="9">
        <v>0.0</v>
      </c>
    </row>
    <row r="68">
      <c r="A68" s="1" t="s">
        <v>96</v>
      </c>
      <c r="B68" s="9">
        <v>3.0</v>
      </c>
      <c r="C68" s="9">
        <v>0.0</v>
      </c>
      <c r="D68" s="9">
        <v>2.0</v>
      </c>
      <c r="E68" s="9">
        <v>3.0</v>
      </c>
      <c r="F68" s="9">
        <v>0.0</v>
      </c>
    </row>
    <row r="69">
      <c r="A69" s="1" t="s">
        <v>97</v>
      </c>
      <c r="B69" s="9">
        <v>2.0</v>
      </c>
      <c r="C69" s="9">
        <v>0.0</v>
      </c>
      <c r="D69" s="9">
        <v>1.0</v>
      </c>
      <c r="E69" s="9">
        <v>2.0</v>
      </c>
      <c r="F69" s="9">
        <v>0.0</v>
      </c>
    </row>
    <row r="70">
      <c r="A70" s="1" t="s">
        <v>98</v>
      </c>
      <c r="B70" s="9">
        <v>83.0</v>
      </c>
      <c r="C70" s="9">
        <v>0.0</v>
      </c>
      <c r="D70" s="9">
        <v>37.0</v>
      </c>
      <c r="E70" s="9">
        <v>83.0</v>
      </c>
      <c r="F70" s="9">
        <v>0.0</v>
      </c>
    </row>
    <row r="71">
      <c r="A71" s="1" t="s">
        <v>99</v>
      </c>
      <c r="B71" s="9">
        <v>102.0</v>
      </c>
      <c r="C71" s="9">
        <v>0.0</v>
      </c>
      <c r="D71" s="9">
        <v>18.0</v>
      </c>
      <c r="E71" s="9">
        <v>102.0</v>
      </c>
      <c r="F71" s="9">
        <v>0.0</v>
      </c>
    </row>
    <row r="72">
      <c r="A72" s="1" t="s">
        <v>100</v>
      </c>
      <c r="B72" s="9">
        <v>690.0</v>
      </c>
      <c r="C72" s="9">
        <v>1.0</v>
      </c>
      <c r="D72" s="9">
        <v>240.0</v>
      </c>
      <c r="E72" s="9">
        <v>689.0</v>
      </c>
      <c r="F72" s="9">
        <v>3.0</v>
      </c>
    </row>
    <row r="73">
      <c r="A73" s="1" t="s">
        <v>101</v>
      </c>
      <c r="B73" s="9">
        <v>30.0</v>
      </c>
      <c r="C73" s="9">
        <v>1.0</v>
      </c>
      <c r="D73" s="9">
        <v>9.0</v>
      </c>
      <c r="E73" s="9">
        <v>30.0</v>
      </c>
      <c r="F73" s="9">
        <v>1.0</v>
      </c>
    </row>
    <row r="74">
      <c r="A74" s="1" t="s">
        <v>102</v>
      </c>
      <c r="B74" s="9">
        <v>143.0</v>
      </c>
      <c r="C74" s="9">
        <v>1.0</v>
      </c>
      <c r="D74" s="9">
        <v>29.0</v>
      </c>
      <c r="E74" s="9">
        <v>142.0</v>
      </c>
      <c r="F74" s="9">
        <v>0.0</v>
      </c>
    </row>
    <row r="75">
      <c r="A75" s="1" t="s">
        <v>103</v>
      </c>
      <c r="B75" s="9">
        <v>102.0</v>
      </c>
      <c r="C75" s="9">
        <v>2.0</v>
      </c>
      <c r="D75" s="9">
        <v>23.0</v>
      </c>
      <c r="E75" s="9">
        <v>100.0</v>
      </c>
      <c r="F75" s="9">
        <v>0.0</v>
      </c>
    </row>
    <row r="76">
      <c r="A76" s="1" t="s">
        <v>104</v>
      </c>
      <c r="B76" s="9">
        <v>100.0</v>
      </c>
      <c r="C76" s="9">
        <v>3.0</v>
      </c>
      <c r="D76" s="9">
        <v>28.0</v>
      </c>
      <c r="E76" s="9">
        <v>97.0</v>
      </c>
      <c r="F76" s="9">
        <v>0.0</v>
      </c>
    </row>
    <row r="77">
      <c r="A77" s="1" t="s">
        <v>105</v>
      </c>
      <c r="B77" s="9">
        <v>87.0</v>
      </c>
      <c r="C77" s="9">
        <v>1.0</v>
      </c>
      <c r="D77" s="9">
        <v>17.0</v>
      </c>
      <c r="E77" s="9">
        <v>86.0</v>
      </c>
      <c r="F77" s="9">
        <v>0.0</v>
      </c>
    </row>
    <row r="78">
      <c r="A78" s="1" t="s">
        <v>106</v>
      </c>
      <c r="B78" s="9">
        <v>87.0</v>
      </c>
      <c r="C78" s="9">
        <v>4.0</v>
      </c>
      <c r="D78" s="9">
        <v>17.0</v>
      </c>
      <c r="E78" s="9">
        <v>84.0</v>
      </c>
      <c r="F78" s="9">
        <v>1.0</v>
      </c>
    </row>
    <row r="79">
      <c r="A79" s="1" t="s">
        <v>107</v>
      </c>
      <c r="B79" s="9">
        <v>77.0</v>
      </c>
      <c r="C79" s="9">
        <v>3.0</v>
      </c>
      <c r="D79" s="9">
        <v>24.0</v>
      </c>
      <c r="E79" s="9">
        <v>74.0</v>
      </c>
      <c r="F79" s="9">
        <v>0.0</v>
      </c>
    </row>
    <row r="80">
      <c r="A80" s="1" t="s">
        <v>108</v>
      </c>
      <c r="B80" s="9">
        <v>39.0</v>
      </c>
      <c r="C80" s="9">
        <v>2.0</v>
      </c>
      <c r="D80" s="9">
        <v>14.0</v>
      </c>
      <c r="E80" s="9">
        <v>35.0</v>
      </c>
      <c r="F80" s="9">
        <v>0.0</v>
      </c>
    </row>
    <row r="81">
      <c r="A81" s="1" t="s">
        <v>109</v>
      </c>
      <c r="B81" s="9">
        <v>86.0</v>
      </c>
      <c r="C81" s="9">
        <v>5.0</v>
      </c>
      <c r="D81" s="9">
        <v>24.0</v>
      </c>
      <c r="E81" s="9">
        <v>80.0</v>
      </c>
      <c r="F81" s="9">
        <v>0.0</v>
      </c>
    </row>
    <row r="82">
      <c r="A82" s="1" t="s">
        <v>110</v>
      </c>
      <c r="B82" s="9">
        <v>46.0</v>
      </c>
      <c r="C82" s="9">
        <v>2.0</v>
      </c>
      <c r="D82" s="9">
        <v>10.0</v>
      </c>
      <c r="E82" s="9">
        <v>44.0</v>
      </c>
      <c r="F82" s="9">
        <v>0.0</v>
      </c>
    </row>
    <row r="83">
      <c r="A83" s="1" t="s">
        <v>111</v>
      </c>
      <c r="B83" s="9">
        <v>797.0</v>
      </c>
      <c r="C83" s="9">
        <v>24.0</v>
      </c>
      <c r="D83" s="9">
        <v>195.0</v>
      </c>
      <c r="E83" s="9">
        <v>772.0</v>
      </c>
      <c r="F83" s="9">
        <v>2.0</v>
      </c>
    </row>
    <row r="84">
      <c r="A84" s="1" t="s">
        <v>112</v>
      </c>
      <c r="B84" s="9">
        <v>102.0</v>
      </c>
      <c r="C84" s="9">
        <v>0.0</v>
      </c>
      <c r="D84" s="9">
        <v>30.0</v>
      </c>
      <c r="E84" s="9">
        <v>102.0</v>
      </c>
      <c r="F84" s="9">
        <v>0.0</v>
      </c>
    </row>
    <row r="85">
      <c r="A85" s="1" t="s">
        <v>113</v>
      </c>
      <c r="B85" s="9">
        <v>142.0</v>
      </c>
      <c r="C85" s="9">
        <v>1.0</v>
      </c>
      <c r="D85" s="9">
        <v>43.0</v>
      </c>
      <c r="E85" s="9">
        <v>140.0</v>
      </c>
      <c r="F85" s="9">
        <v>0.0</v>
      </c>
    </row>
    <row r="86">
      <c r="A86" s="1" t="s">
        <v>114</v>
      </c>
      <c r="B86" s="9">
        <v>109.0</v>
      </c>
      <c r="C86" s="9">
        <v>2.0</v>
      </c>
      <c r="D86" s="9">
        <v>30.0</v>
      </c>
      <c r="E86" s="9">
        <v>108.0</v>
      </c>
      <c r="F86" s="9">
        <v>1.0</v>
      </c>
    </row>
    <row r="87">
      <c r="A87" s="1" t="s">
        <v>115</v>
      </c>
      <c r="B87" s="9">
        <v>353.0</v>
      </c>
      <c r="C87" s="9">
        <v>3.0</v>
      </c>
      <c r="D87" s="9">
        <v>103.0</v>
      </c>
      <c r="E87" s="9">
        <v>350.0</v>
      </c>
      <c r="F87" s="9">
        <v>1.0</v>
      </c>
    </row>
    <row r="88">
      <c r="A88" s="1" t="s">
        <v>116</v>
      </c>
      <c r="B88" s="9">
        <v>88.0</v>
      </c>
      <c r="C88" s="9">
        <v>2.0</v>
      </c>
      <c r="D88" s="9">
        <v>22.0</v>
      </c>
      <c r="E88" s="9">
        <v>86.0</v>
      </c>
      <c r="F88" s="9">
        <v>0.0</v>
      </c>
    </row>
    <row r="89">
      <c r="A89" s="1" t="s">
        <v>117</v>
      </c>
      <c r="B89" s="9">
        <v>94.0</v>
      </c>
      <c r="C89" s="9">
        <v>0.0</v>
      </c>
      <c r="D89" s="9">
        <v>41.0</v>
      </c>
      <c r="E89" s="9">
        <v>93.0</v>
      </c>
      <c r="F89" s="9">
        <v>0.0</v>
      </c>
    </row>
    <row r="90">
      <c r="A90" s="1" t="s">
        <v>118</v>
      </c>
      <c r="B90" s="9">
        <v>182.0</v>
      </c>
      <c r="C90" s="9">
        <v>2.0</v>
      </c>
      <c r="D90" s="9">
        <v>63.0</v>
      </c>
      <c r="E90" s="9">
        <v>179.0</v>
      </c>
      <c r="F90" s="9">
        <v>0.0</v>
      </c>
    </row>
    <row r="91">
      <c r="A91" s="1" t="s">
        <v>119</v>
      </c>
      <c r="B91" s="9">
        <v>4591.0</v>
      </c>
      <c r="C91" s="9">
        <v>43.0</v>
      </c>
      <c r="D91" s="9">
        <v>1207.0</v>
      </c>
      <c r="E91" s="9">
        <v>4545.0</v>
      </c>
      <c r="F91" s="9">
        <v>9.0</v>
      </c>
    </row>
    <row r="92">
      <c r="A92" s="4"/>
      <c r="B92" s="4"/>
      <c r="C92" s="4"/>
      <c r="D92" s="4"/>
      <c r="E92" s="4"/>
      <c r="F92" s="4"/>
    </row>
    <row r="93">
      <c r="A93" s="7"/>
      <c r="B93" s="7"/>
      <c r="C93" s="7"/>
      <c r="D93" s="7"/>
      <c r="E93" s="7"/>
      <c r="F93" s="7"/>
    </row>
    <row r="94">
      <c r="A94" s="1" t="s">
        <v>120</v>
      </c>
      <c r="B94" s="7"/>
      <c r="C94" s="7"/>
      <c r="D94" s="7"/>
      <c r="E94" s="7"/>
      <c r="F94" s="7"/>
    </row>
    <row r="95">
      <c r="A95" s="1" t="s">
        <v>159</v>
      </c>
      <c r="B95" s="1" t="s">
        <v>160</v>
      </c>
      <c r="C95" s="1" t="s">
        <v>161</v>
      </c>
      <c r="D95" s="1" t="s">
        <v>162</v>
      </c>
      <c r="E95" s="4"/>
      <c r="F95" s="4"/>
    </row>
    <row r="96">
      <c r="A96" s="1" t="s">
        <v>163</v>
      </c>
      <c r="B96" s="1" t="s">
        <v>126</v>
      </c>
      <c r="C96" s="1" t="s">
        <v>164</v>
      </c>
      <c r="D96" s="1" t="s">
        <v>165</v>
      </c>
      <c r="E96" s="4"/>
      <c r="F96" s="4"/>
    </row>
    <row r="97">
      <c r="A97" s="1" t="s">
        <v>134</v>
      </c>
      <c r="B97" s="4"/>
      <c r="C97" s="4"/>
      <c r="D97" s="4"/>
      <c r="E97" s="4"/>
      <c r="F97" s="4"/>
    </row>
    <row r="98">
      <c r="A98" s="1" t="s">
        <v>135</v>
      </c>
      <c r="B98" s="4"/>
      <c r="C98" s="4"/>
      <c r="D98" s="4"/>
      <c r="E98" s="4"/>
      <c r="F98" s="4"/>
    </row>
    <row r="99">
      <c r="A99" s="2"/>
    </row>
  </sheetData>
  <mergeCells count="1">
    <mergeCell ref="A99:F9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D1" s="5"/>
      <c r="E1" s="5"/>
      <c r="F1" s="5"/>
    </row>
    <row r="2">
      <c r="A2" s="2"/>
      <c r="C2" s="5"/>
      <c r="D2" s="5"/>
      <c r="E2" s="5"/>
      <c r="F2" s="5"/>
    </row>
    <row r="3">
      <c r="A3" s="2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/>
    </row>
    <row r="6">
      <c r="A6" s="2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/>
      <c r="B8" s="2"/>
      <c r="C8" s="2"/>
      <c r="D8" s="2"/>
      <c r="E8" s="2"/>
      <c r="F8" s="2"/>
    </row>
    <row r="9">
      <c r="A9" s="2"/>
      <c r="B9" s="10"/>
      <c r="C9" s="10"/>
      <c r="D9" s="10"/>
      <c r="E9" s="10"/>
      <c r="F9" s="10"/>
    </row>
    <row r="10">
      <c r="A10" s="2"/>
      <c r="B10" s="10"/>
      <c r="C10" s="10"/>
      <c r="D10" s="10"/>
      <c r="E10" s="10"/>
      <c r="F10" s="10"/>
    </row>
    <row r="11">
      <c r="A11" s="2"/>
      <c r="B11" s="10"/>
      <c r="C11" s="10"/>
      <c r="D11" s="10"/>
      <c r="E11" s="10"/>
      <c r="F11" s="10"/>
    </row>
    <row r="12">
      <c r="A12" s="2"/>
      <c r="B12" s="10"/>
      <c r="C12" s="10"/>
      <c r="D12" s="10"/>
      <c r="E12" s="10"/>
      <c r="F12" s="10"/>
    </row>
    <row r="13">
      <c r="A13" s="2"/>
      <c r="B13" s="10"/>
      <c r="C13" s="10"/>
      <c r="D13" s="10"/>
      <c r="E13" s="10"/>
      <c r="F13" s="10"/>
    </row>
    <row r="14">
      <c r="A14" s="2"/>
      <c r="B14" s="10"/>
      <c r="C14" s="10"/>
      <c r="D14" s="10"/>
      <c r="E14" s="10"/>
      <c r="F14" s="10"/>
    </row>
    <row r="15">
      <c r="A15" s="2"/>
      <c r="B15" s="10"/>
      <c r="C15" s="10"/>
      <c r="D15" s="10"/>
      <c r="E15" s="10"/>
      <c r="F15" s="10"/>
    </row>
    <row r="16">
      <c r="A16" s="2"/>
      <c r="B16" s="10"/>
      <c r="C16" s="10"/>
      <c r="D16" s="10"/>
      <c r="E16" s="10"/>
      <c r="F16" s="10"/>
    </row>
    <row r="17">
      <c r="A17" s="2"/>
      <c r="B17" s="10"/>
      <c r="C17" s="10"/>
      <c r="D17" s="10"/>
      <c r="E17" s="10"/>
      <c r="F17" s="10"/>
    </row>
    <row r="18">
      <c r="A18" s="2"/>
      <c r="B18" s="10"/>
      <c r="C18" s="10"/>
      <c r="D18" s="10"/>
      <c r="E18" s="10"/>
      <c r="F18" s="10"/>
    </row>
    <row r="19">
      <c r="A19" s="2"/>
      <c r="B19" s="10"/>
      <c r="C19" s="10"/>
      <c r="D19" s="10"/>
      <c r="E19" s="10"/>
      <c r="F19" s="10"/>
    </row>
    <row r="20">
      <c r="A20" s="2"/>
      <c r="B20" s="10"/>
      <c r="C20" s="10"/>
      <c r="D20" s="10"/>
      <c r="E20" s="10"/>
      <c r="F20" s="10"/>
    </row>
    <row r="21">
      <c r="A21" s="2"/>
      <c r="B21" s="10"/>
      <c r="C21" s="10"/>
      <c r="D21" s="10"/>
      <c r="E21" s="10"/>
      <c r="F21" s="10"/>
    </row>
    <row r="22">
      <c r="A22" s="2"/>
      <c r="B22" s="10"/>
      <c r="C22" s="10"/>
      <c r="D22" s="10"/>
      <c r="E22" s="10"/>
      <c r="F22" s="10"/>
    </row>
    <row r="23">
      <c r="A23" s="2"/>
      <c r="B23" s="10"/>
      <c r="C23" s="10"/>
      <c r="D23" s="10"/>
      <c r="E23" s="10"/>
      <c r="F23" s="10"/>
    </row>
    <row r="24">
      <c r="A24" s="2"/>
      <c r="B24" s="10"/>
      <c r="C24" s="10"/>
      <c r="D24" s="10"/>
      <c r="E24" s="10"/>
      <c r="F24" s="10"/>
    </row>
    <row r="25">
      <c r="A25" s="2"/>
      <c r="B25" s="10"/>
      <c r="C25" s="10"/>
      <c r="D25" s="10"/>
      <c r="E25" s="10"/>
      <c r="F25" s="10"/>
    </row>
    <row r="26">
      <c r="A26" s="2"/>
      <c r="B26" s="10"/>
      <c r="C26" s="10"/>
      <c r="D26" s="10"/>
      <c r="E26" s="10"/>
      <c r="F26" s="10"/>
    </row>
    <row r="27">
      <c r="A27" s="2"/>
      <c r="B27" s="10"/>
      <c r="C27" s="10"/>
      <c r="D27" s="10"/>
      <c r="E27" s="10"/>
      <c r="F27" s="10"/>
    </row>
    <row r="28">
      <c r="A28" s="2"/>
      <c r="B28" s="10"/>
      <c r="C28" s="10"/>
      <c r="D28" s="10"/>
      <c r="E28" s="10"/>
      <c r="F28" s="10"/>
    </row>
    <row r="29">
      <c r="A29" s="2"/>
      <c r="B29" s="10"/>
      <c r="C29" s="10"/>
      <c r="D29" s="10"/>
      <c r="E29" s="10"/>
      <c r="F29" s="10"/>
    </row>
    <row r="30">
      <c r="A30" s="2"/>
      <c r="B30" s="10"/>
      <c r="C30" s="10"/>
      <c r="D30" s="10"/>
      <c r="E30" s="10"/>
      <c r="F30" s="10"/>
    </row>
    <row r="31">
      <c r="A31" s="2"/>
      <c r="B31" s="10"/>
      <c r="C31" s="10"/>
      <c r="D31" s="10"/>
      <c r="E31" s="10"/>
      <c r="F31" s="10"/>
    </row>
    <row r="32">
      <c r="A32" s="2"/>
      <c r="B32" s="10"/>
      <c r="C32" s="10"/>
      <c r="D32" s="10"/>
      <c r="E32" s="10"/>
      <c r="F32" s="10"/>
    </row>
    <row r="33">
      <c r="A33" s="2"/>
      <c r="B33" s="10"/>
      <c r="C33" s="10"/>
      <c r="D33" s="10"/>
      <c r="E33" s="10"/>
      <c r="F33" s="10"/>
    </row>
    <row r="34">
      <c r="A34" s="2"/>
      <c r="B34" s="10"/>
      <c r="C34" s="10"/>
      <c r="D34" s="10"/>
      <c r="E34" s="10"/>
      <c r="F34" s="10"/>
    </row>
    <row r="35">
      <c r="A35" s="2"/>
      <c r="B35" s="10"/>
      <c r="C35" s="10"/>
      <c r="D35" s="10"/>
      <c r="E35" s="10"/>
      <c r="F35" s="10"/>
    </row>
    <row r="36">
      <c r="A36" s="2"/>
      <c r="B36" s="10"/>
      <c r="C36" s="10"/>
      <c r="D36" s="10"/>
      <c r="E36" s="10"/>
      <c r="F36" s="10"/>
    </row>
    <row r="37">
      <c r="A37" s="2"/>
      <c r="B37" s="10"/>
      <c r="C37" s="10"/>
      <c r="D37" s="10"/>
      <c r="E37" s="10"/>
      <c r="F37" s="10"/>
    </row>
    <row r="38">
      <c r="A38" s="2"/>
      <c r="B38" s="10"/>
      <c r="C38" s="10"/>
      <c r="D38" s="10"/>
      <c r="E38" s="10"/>
      <c r="F38" s="10"/>
    </row>
    <row r="39">
      <c r="A39" s="2"/>
      <c r="B39" s="10"/>
      <c r="C39" s="10"/>
      <c r="D39" s="10"/>
      <c r="E39" s="10"/>
      <c r="F39" s="10"/>
    </row>
    <row r="40">
      <c r="A40" s="2"/>
      <c r="B40" s="10"/>
      <c r="C40" s="10"/>
      <c r="D40" s="10"/>
      <c r="E40" s="10"/>
      <c r="F40" s="10"/>
    </row>
    <row r="41">
      <c r="A41" s="2"/>
      <c r="B41" s="10"/>
      <c r="C41" s="10"/>
      <c r="D41" s="10"/>
      <c r="E41" s="10"/>
      <c r="F41" s="10"/>
    </row>
    <row r="42">
      <c r="A42" s="2"/>
      <c r="B42" s="10"/>
      <c r="C42" s="10"/>
      <c r="D42" s="10"/>
      <c r="E42" s="10"/>
      <c r="F42" s="10"/>
    </row>
    <row r="43">
      <c r="A43" s="2"/>
      <c r="B43" s="10"/>
      <c r="C43" s="10"/>
      <c r="D43" s="10"/>
      <c r="E43" s="10"/>
      <c r="F43" s="10"/>
    </row>
    <row r="44">
      <c r="A44" s="2"/>
      <c r="B44" s="10"/>
      <c r="C44" s="10"/>
      <c r="D44" s="10"/>
      <c r="E44" s="10"/>
      <c r="F44" s="10"/>
    </row>
    <row r="45">
      <c r="A45" s="2"/>
      <c r="B45" s="10"/>
      <c r="C45" s="10"/>
      <c r="D45" s="10"/>
      <c r="E45" s="10"/>
      <c r="F45" s="10"/>
    </row>
    <row r="46">
      <c r="A46" s="2"/>
      <c r="B46" s="10"/>
      <c r="C46" s="10"/>
      <c r="D46" s="10"/>
      <c r="E46" s="10"/>
      <c r="F46" s="10"/>
    </row>
    <row r="47">
      <c r="A47" s="2"/>
      <c r="B47" s="10"/>
      <c r="C47" s="10"/>
      <c r="D47" s="10"/>
      <c r="E47" s="10"/>
      <c r="F47" s="10"/>
    </row>
    <row r="48">
      <c r="A48" s="2"/>
      <c r="B48" s="10"/>
      <c r="C48" s="10"/>
      <c r="D48" s="10"/>
      <c r="E48" s="10"/>
      <c r="F48" s="10"/>
    </row>
    <row r="49">
      <c r="A49" s="2"/>
      <c r="B49" s="10"/>
      <c r="C49" s="10"/>
      <c r="D49" s="10"/>
      <c r="E49" s="10"/>
      <c r="F49" s="10"/>
    </row>
    <row r="50">
      <c r="A50" s="2"/>
      <c r="B50" s="10"/>
      <c r="C50" s="10"/>
      <c r="D50" s="10"/>
      <c r="E50" s="10"/>
      <c r="F50" s="10"/>
    </row>
    <row r="51">
      <c r="A51" s="2"/>
      <c r="B51" s="10"/>
      <c r="C51" s="10"/>
      <c r="D51" s="10"/>
      <c r="E51" s="10"/>
      <c r="F51" s="10"/>
    </row>
    <row r="52">
      <c r="A52" s="2"/>
      <c r="B52" s="10"/>
      <c r="C52" s="10"/>
      <c r="D52" s="10"/>
      <c r="E52" s="10"/>
      <c r="F52" s="10"/>
    </row>
    <row r="53">
      <c r="A53" s="2"/>
      <c r="B53" s="10"/>
      <c r="C53" s="10"/>
      <c r="D53" s="10"/>
      <c r="E53" s="10"/>
      <c r="F53" s="10"/>
    </row>
    <row r="54">
      <c r="A54" s="2"/>
      <c r="B54" s="10"/>
      <c r="C54" s="10"/>
      <c r="D54" s="10"/>
      <c r="E54" s="10"/>
      <c r="F54" s="10"/>
    </row>
    <row r="55">
      <c r="A55" s="2"/>
      <c r="B55" s="10"/>
      <c r="C55" s="10"/>
      <c r="D55" s="10"/>
      <c r="E55" s="10"/>
      <c r="F55" s="10"/>
    </row>
    <row r="56">
      <c r="A56" s="2"/>
      <c r="B56" s="10"/>
      <c r="C56" s="10"/>
      <c r="D56" s="10"/>
      <c r="E56" s="10"/>
      <c r="F56" s="10"/>
    </row>
    <row r="57">
      <c r="A57" s="2"/>
      <c r="B57" s="10"/>
      <c r="C57" s="10"/>
      <c r="D57" s="10"/>
      <c r="E57" s="10"/>
      <c r="F57" s="10"/>
    </row>
    <row r="58">
      <c r="A58" s="2"/>
      <c r="B58" s="10"/>
      <c r="C58" s="10"/>
      <c r="D58" s="10"/>
      <c r="E58" s="10"/>
      <c r="F58" s="10"/>
    </row>
    <row r="59">
      <c r="A59" s="2"/>
      <c r="B59" s="10"/>
      <c r="C59" s="10"/>
      <c r="D59" s="10"/>
      <c r="E59" s="10"/>
      <c r="F59" s="10"/>
    </row>
    <row r="60">
      <c r="A60" s="2"/>
      <c r="B60" s="10"/>
      <c r="C60" s="10"/>
      <c r="D60" s="10"/>
      <c r="E60" s="10"/>
      <c r="F60" s="10"/>
    </row>
    <row r="61">
      <c r="A61" s="2"/>
      <c r="B61" s="10"/>
      <c r="C61" s="10"/>
      <c r="D61" s="10"/>
      <c r="E61" s="10"/>
      <c r="F61" s="10"/>
    </row>
    <row r="62">
      <c r="A62" s="2"/>
      <c r="B62" s="10"/>
      <c r="C62" s="10"/>
      <c r="D62" s="10"/>
      <c r="E62" s="10"/>
      <c r="F62" s="10"/>
    </row>
    <row r="63">
      <c r="A63" s="2"/>
      <c r="B63" s="10"/>
      <c r="C63" s="10"/>
      <c r="D63" s="10"/>
      <c r="E63" s="10"/>
      <c r="F63" s="10"/>
    </row>
    <row r="64">
      <c r="A64" s="2"/>
      <c r="B64" s="10"/>
      <c r="C64" s="10"/>
      <c r="D64" s="10"/>
      <c r="E64" s="10"/>
      <c r="F64" s="10"/>
    </row>
    <row r="65">
      <c r="A65" s="2"/>
      <c r="B65" s="10"/>
      <c r="C65" s="10"/>
      <c r="D65" s="10"/>
      <c r="E65" s="10"/>
      <c r="F65" s="10"/>
    </row>
    <row r="66">
      <c r="A66" s="2"/>
      <c r="B66" s="10"/>
      <c r="C66" s="10"/>
      <c r="D66" s="10"/>
      <c r="E66" s="10"/>
      <c r="F66" s="10"/>
    </row>
    <row r="67">
      <c r="A67" s="2"/>
      <c r="B67" s="10"/>
      <c r="C67" s="10"/>
      <c r="D67" s="10"/>
      <c r="E67" s="10"/>
      <c r="F67" s="10"/>
    </row>
    <row r="68">
      <c r="A68" s="2"/>
      <c r="B68" s="10"/>
      <c r="C68" s="10"/>
      <c r="D68" s="10"/>
      <c r="E68" s="10"/>
      <c r="F68" s="10"/>
    </row>
    <row r="69">
      <c r="A69" s="2"/>
      <c r="B69" s="10"/>
      <c r="C69" s="10"/>
      <c r="D69" s="10"/>
      <c r="E69" s="10"/>
      <c r="F69" s="10"/>
    </row>
    <row r="70">
      <c r="A70" s="2"/>
      <c r="B70" s="10"/>
      <c r="C70" s="10"/>
      <c r="D70" s="10"/>
      <c r="E70" s="10"/>
      <c r="F70" s="10"/>
    </row>
    <row r="71">
      <c r="A71" s="2"/>
      <c r="B71" s="10"/>
      <c r="C71" s="10"/>
      <c r="D71" s="10"/>
      <c r="E71" s="10"/>
      <c r="F71" s="10"/>
    </row>
    <row r="72">
      <c r="A72" s="2"/>
      <c r="B72" s="10"/>
      <c r="C72" s="10"/>
      <c r="D72" s="10"/>
      <c r="E72" s="10"/>
      <c r="F72" s="10"/>
    </row>
    <row r="73">
      <c r="A73" s="2"/>
      <c r="B73" s="10"/>
      <c r="C73" s="10"/>
      <c r="D73" s="10"/>
      <c r="E73" s="10"/>
      <c r="F73" s="10"/>
    </row>
    <row r="74">
      <c r="A74" s="2"/>
      <c r="B74" s="10"/>
      <c r="C74" s="10"/>
      <c r="D74" s="10"/>
      <c r="E74" s="10"/>
      <c r="F74" s="10"/>
    </row>
    <row r="75">
      <c r="A75" s="2"/>
      <c r="B75" s="10"/>
      <c r="C75" s="10"/>
      <c r="D75" s="10"/>
      <c r="E75" s="10"/>
      <c r="F75" s="10"/>
    </row>
    <row r="76">
      <c r="A76" s="2"/>
      <c r="B76" s="10"/>
      <c r="C76" s="10"/>
      <c r="D76" s="10"/>
      <c r="E76" s="10"/>
      <c r="F76" s="10"/>
    </row>
    <row r="77">
      <c r="A77" s="2"/>
      <c r="B77" s="10"/>
      <c r="C77" s="10"/>
      <c r="D77" s="10"/>
      <c r="E77" s="10"/>
      <c r="F77" s="10"/>
    </row>
    <row r="78">
      <c r="A78" s="2"/>
      <c r="B78" s="10"/>
      <c r="C78" s="10"/>
      <c r="D78" s="10"/>
      <c r="E78" s="10"/>
      <c r="F78" s="10"/>
    </row>
    <row r="79">
      <c r="A79" s="2"/>
      <c r="B79" s="10"/>
      <c r="C79" s="10"/>
      <c r="D79" s="10"/>
      <c r="E79" s="10"/>
      <c r="F79" s="10"/>
    </row>
    <row r="80">
      <c r="A80" s="2"/>
      <c r="B80" s="10"/>
      <c r="C80" s="10"/>
      <c r="D80" s="10"/>
      <c r="E80" s="10"/>
      <c r="F80" s="10"/>
    </row>
    <row r="81">
      <c r="A81" s="2"/>
      <c r="B81" s="10"/>
      <c r="C81" s="10"/>
      <c r="D81" s="10"/>
      <c r="E81" s="10"/>
      <c r="F81" s="10"/>
    </row>
    <row r="82">
      <c r="A82" s="2"/>
      <c r="B82" s="10"/>
      <c r="C82" s="10"/>
      <c r="D82" s="10"/>
      <c r="E82" s="10"/>
      <c r="F82" s="10"/>
    </row>
    <row r="83">
      <c r="A83" s="2"/>
      <c r="B83" s="10"/>
      <c r="C83" s="10"/>
      <c r="D83" s="10"/>
      <c r="E83" s="10"/>
      <c r="F83" s="10"/>
    </row>
    <row r="84">
      <c r="A84" s="2"/>
      <c r="B84" s="10"/>
      <c r="C84" s="10"/>
      <c r="D84" s="10"/>
      <c r="E84" s="10"/>
      <c r="F84" s="10"/>
    </row>
    <row r="85">
      <c r="A85" s="2"/>
      <c r="B85" s="10"/>
      <c r="C85" s="10"/>
      <c r="D85" s="10"/>
      <c r="E85" s="10"/>
      <c r="F85" s="10"/>
    </row>
    <row r="86">
      <c r="A86" s="2"/>
      <c r="B86" s="10"/>
      <c r="C86" s="10"/>
      <c r="D86" s="10"/>
      <c r="E86" s="10"/>
      <c r="F86" s="10"/>
    </row>
    <row r="87">
      <c r="A87" s="2"/>
      <c r="B87" s="10"/>
      <c r="C87" s="10"/>
      <c r="D87" s="10"/>
      <c r="E87" s="10"/>
      <c r="F87" s="10"/>
    </row>
    <row r="88">
      <c r="A88" s="2"/>
      <c r="B88" s="10"/>
      <c r="C88" s="10"/>
      <c r="D88" s="10"/>
      <c r="E88" s="10"/>
      <c r="F88" s="10"/>
    </row>
    <row r="89">
      <c r="A89" s="2"/>
      <c r="B89" s="10"/>
      <c r="C89" s="10"/>
      <c r="D89" s="10"/>
      <c r="E89" s="10"/>
      <c r="F89" s="10"/>
    </row>
    <row r="90">
      <c r="A90" s="2"/>
      <c r="B90" s="10"/>
      <c r="C90" s="10"/>
      <c r="D90" s="10"/>
      <c r="E90" s="10"/>
      <c r="F90" s="10"/>
    </row>
    <row r="91">
      <c r="A91" s="2"/>
      <c r="B91" s="10"/>
      <c r="C91" s="10"/>
      <c r="D91" s="10"/>
      <c r="E91" s="10"/>
      <c r="F91" s="10"/>
    </row>
    <row r="92">
      <c r="A92" s="2"/>
      <c r="B92" s="10"/>
      <c r="C92" s="10"/>
      <c r="D92" s="10"/>
      <c r="E92" s="10"/>
      <c r="F92" s="10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</sheetData>
  <mergeCells count="10">
    <mergeCell ref="A97:F97"/>
    <mergeCell ref="A98:F98"/>
    <mergeCell ref="A99:F99"/>
    <mergeCell ref="A1:C1"/>
    <mergeCell ref="A2:B2"/>
    <mergeCell ref="A3:C3"/>
    <mergeCell ref="A5:F5"/>
    <mergeCell ref="A6:C6"/>
    <mergeCell ref="A95:F95"/>
    <mergeCell ref="A96:F9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57"/>
  </cols>
  <sheetData>
    <row r="1">
      <c r="A1" s="3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4"/>
      <c r="B8" s="34"/>
      <c r="C8" s="34"/>
      <c r="D8" s="34"/>
      <c r="E8" s="34"/>
      <c r="F8" s="34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4"/>
      <c r="B9" s="35"/>
      <c r="C9" s="35"/>
      <c r="D9" s="35"/>
      <c r="E9" s="35"/>
      <c r="F9" s="35"/>
      <c r="G9" s="6"/>
      <c r="H9" s="6"/>
      <c r="I9" s="6"/>
      <c r="J9" s="6"/>
      <c r="K9" s="6"/>
      <c r="L9" s="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4"/>
      <c r="B10" s="35"/>
      <c r="C10" s="35"/>
      <c r="D10" s="35"/>
      <c r="E10" s="35"/>
      <c r="F10" s="35"/>
      <c r="G10" s="6"/>
      <c r="H10" s="6"/>
      <c r="I10" s="6"/>
      <c r="J10" s="6"/>
      <c r="K10" s="6"/>
      <c r="L10" s="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35"/>
      <c r="C11" s="35"/>
      <c r="D11" s="35"/>
      <c r="E11" s="35"/>
      <c r="F11" s="35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4"/>
      <c r="B12" s="35"/>
      <c r="C12" s="35"/>
      <c r="D12" s="35"/>
      <c r="E12" s="35"/>
      <c r="F12" s="35"/>
      <c r="G12" s="6"/>
      <c r="H12" s="6"/>
      <c r="I12" s="6"/>
      <c r="J12" s="6"/>
      <c r="K12" s="6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4"/>
      <c r="B13" s="35"/>
      <c r="C13" s="35"/>
      <c r="D13" s="35"/>
      <c r="E13" s="35"/>
      <c r="F13" s="35"/>
      <c r="G13" s="6"/>
      <c r="H13" s="6"/>
      <c r="I13" s="6"/>
      <c r="J13" s="6"/>
      <c r="K13" s="6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4"/>
      <c r="B14" s="35"/>
      <c r="C14" s="35"/>
      <c r="D14" s="35"/>
      <c r="E14" s="35"/>
      <c r="F14" s="35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4"/>
      <c r="B15" s="35"/>
      <c r="C15" s="35"/>
      <c r="D15" s="35"/>
      <c r="E15" s="35"/>
      <c r="F15" s="35"/>
      <c r="G15" s="6"/>
      <c r="H15" s="6"/>
      <c r="I15" s="6"/>
      <c r="J15" s="6"/>
      <c r="K15" s="6"/>
      <c r="L15" s="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4"/>
      <c r="B16" s="35"/>
      <c r="C16" s="35"/>
      <c r="D16" s="35"/>
      <c r="E16" s="35"/>
      <c r="F16" s="35"/>
      <c r="G16" s="6"/>
      <c r="H16" s="6"/>
      <c r="I16" s="6"/>
      <c r="J16" s="6"/>
      <c r="K16" s="6"/>
      <c r="L16" s="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4"/>
      <c r="B17" s="35"/>
      <c r="C17" s="35"/>
      <c r="D17" s="35"/>
      <c r="E17" s="35"/>
      <c r="F17" s="35"/>
      <c r="G17" s="6"/>
      <c r="H17" s="6"/>
      <c r="I17" s="6"/>
      <c r="J17" s="6"/>
      <c r="K17" s="6"/>
      <c r="L17" s="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4"/>
      <c r="B18" s="35"/>
      <c r="C18" s="35"/>
      <c r="D18" s="35"/>
      <c r="E18" s="35"/>
      <c r="F18" s="35"/>
      <c r="G18" s="6"/>
      <c r="H18" s="6"/>
      <c r="I18" s="6"/>
      <c r="J18" s="6"/>
      <c r="K18" s="6"/>
      <c r="L18" s="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4"/>
      <c r="B19" s="35"/>
      <c r="C19" s="35"/>
      <c r="D19" s="35"/>
      <c r="E19" s="35"/>
      <c r="F19" s="35"/>
      <c r="G19" s="6"/>
      <c r="H19" s="6"/>
      <c r="I19" s="6"/>
      <c r="J19" s="6"/>
      <c r="K19" s="6"/>
      <c r="L19" s="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4"/>
      <c r="B20" s="35"/>
      <c r="C20" s="35"/>
      <c r="D20" s="35"/>
      <c r="E20" s="35"/>
      <c r="F20" s="35"/>
      <c r="G20" s="6"/>
      <c r="H20" s="6"/>
      <c r="I20" s="6"/>
      <c r="J20" s="6"/>
      <c r="K20" s="6"/>
      <c r="L20" s="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4"/>
      <c r="B21" s="35"/>
      <c r="C21" s="35"/>
      <c r="D21" s="35"/>
      <c r="E21" s="35"/>
      <c r="F21" s="35"/>
      <c r="G21" s="6"/>
      <c r="H21" s="6"/>
      <c r="I21" s="6"/>
      <c r="J21" s="6"/>
      <c r="K21" s="6"/>
      <c r="L21" s="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4"/>
      <c r="B22" s="35"/>
      <c r="C22" s="35"/>
      <c r="D22" s="35"/>
      <c r="E22" s="35"/>
      <c r="F22" s="35"/>
      <c r="G22" s="6"/>
      <c r="H22" s="6"/>
      <c r="I22" s="6"/>
      <c r="J22" s="6"/>
      <c r="K22" s="6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4"/>
      <c r="B23" s="35"/>
      <c r="C23" s="35"/>
      <c r="D23" s="35"/>
      <c r="E23" s="35"/>
      <c r="F23" s="35"/>
      <c r="G23" s="6"/>
      <c r="H23" s="6"/>
      <c r="I23" s="6"/>
      <c r="J23" s="6"/>
      <c r="K23" s="6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4"/>
      <c r="B24" s="35"/>
      <c r="C24" s="35"/>
      <c r="D24" s="35"/>
      <c r="E24" s="35"/>
      <c r="F24" s="35"/>
      <c r="G24" s="6"/>
      <c r="H24" s="6"/>
      <c r="I24" s="6"/>
      <c r="J24" s="6"/>
      <c r="K24" s="6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4"/>
      <c r="B25" s="35"/>
      <c r="C25" s="35"/>
      <c r="D25" s="35"/>
      <c r="E25" s="35"/>
      <c r="F25" s="35"/>
      <c r="G25" s="6"/>
      <c r="H25" s="6"/>
      <c r="I25" s="6"/>
      <c r="J25" s="6"/>
      <c r="K25" s="6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4"/>
      <c r="B26" s="35"/>
      <c r="C26" s="35"/>
      <c r="D26" s="35"/>
      <c r="E26" s="35"/>
      <c r="F26" s="35"/>
      <c r="G26" s="6"/>
      <c r="H26" s="6"/>
      <c r="I26" s="6"/>
      <c r="J26" s="6"/>
      <c r="K26" s="6"/>
      <c r="L26" s="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4"/>
      <c r="B27" s="35"/>
      <c r="C27" s="35"/>
      <c r="D27" s="35"/>
      <c r="E27" s="35"/>
      <c r="F27" s="35"/>
      <c r="G27" s="6"/>
      <c r="H27" s="6"/>
      <c r="I27" s="6"/>
      <c r="J27" s="6"/>
      <c r="K27" s="6"/>
      <c r="L27" s="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4"/>
      <c r="B28" s="35"/>
      <c r="C28" s="35"/>
      <c r="D28" s="35"/>
      <c r="E28" s="35"/>
      <c r="F28" s="35"/>
      <c r="G28" s="6"/>
      <c r="H28" s="6"/>
      <c r="I28" s="6"/>
      <c r="J28" s="6"/>
      <c r="K28" s="6"/>
      <c r="L28" s="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4"/>
      <c r="B29" s="35"/>
      <c r="C29" s="35"/>
      <c r="D29" s="35"/>
      <c r="E29" s="35"/>
      <c r="F29" s="35"/>
      <c r="G29" s="6"/>
      <c r="H29" s="6"/>
      <c r="I29" s="6"/>
      <c r="J29" s="6"/>
      <c r="K29" s="6"/>
      <c r="L29" s="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4"/>
      <c r="B30" s="35"/>
      <c r="C30" s="35"/>
      <c r="D30" s="35"/>
      <c r="E30" s="35"/>
      <c r="F30" s="35"/>
      <c r="G30" s="6"/>
      <c r="H30" s="6"/>
      <c r="I30" s="6"/>
      <c r="J30" s="6"/>
      <c r="K30" s="6"/>
      <c r="L30" s="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4"/>
      <c r="B31" s="35"/>
      <c r="C31" s="35"/>
      <c r="D31" s="35"/>
      <c r="E31" s="35"/>
      <c r="F31" s="35"/>
      <c r="G31" s="6"/>
      <c r="H31" s="6"/>
      <c r="I31" s="6"/>
      <c r="J31" s="6"/>
      <c r="K31" s="6"/>
      <c r="L31" s="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4"/>
      <c r="B32" s="35"/>
      <c r="C32" s="35"/>
      <c r="D32" s="35"/>
      <c r="E32" s="35"/>
      <c r="F32" s="35"/>
      <c r="G32" s="6"/>
      <c r="H32" s="6"/>
      <c r="I32" s="6"/>
      <c r="J32" s="6"/>
      <c r="K32" s="6"/>
      <c r="L32" s="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4"/>
      <c r="B33" s="35"/>
      <c r="C33" s="35"/>
      <c r="D33" s="35"/>
      <c r="E33" s="35"/>
      <c r="F33" s="35"/>
      <c r="G33" s="6"/>
      <c r="H33" s="6"/>
      <c r="I33" s="6"/>
      <c r="J33" s="6"/>
      <c r="K33" s="6"/>
      <c r="L33" s="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4"/>
      <c r="B34" s="35"/>
      <c r="C34" s="35"/>
      <c r="D34" s="35"/>
      <c r="E34" s="35"/>
      <c r="F34" s="35"/>
      <c r="G34" s="6"/>
      <c r="H34" s="6"/>
      <c r="I34" s="6"/>
      <c r="J34" s="6"/>
      <c r="K34" s="6"/>
      <c r="L34" s="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4"/>
      <c r="B35" s="35"/>
      <c r="C35" s="35"/>
      <c r="D35" s="35"/>
      <c r="E35" s="35"/>
      <c r="F35" s="35"/>
      <c r="G35" s="6"/>
      <c r="H35" s="6"/>
      <c r="I35" s="6"/>
      <c r="J35" s="6"/>
      <c r="K35" s="6"/>
      <c r="L35" s="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4"/>
      <c r="B36" s="35"/>
      <c r="C36" s="35"/>
      <c r="D36" s="35"/>
      <c r="E36" s="35"/>
      <c r="F36" s="35"/>
      <c r="G36" s="6"/>
      <c r="H36" s="6"/>
      <c r="I36" s="6"/>
      <c r="J36" s="6"/>
      <c r="K36" s="6"/>
      <c r="L36" s="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4"/>
      <c r="B37" s="35"/>
      <c r="C37" s="35"/>
      <c r="D37" s="35"/>
      <c r="E37" s="35"/>
      <c r="F37" s="35"/>
      <c r="G37" s="6"/>
      <c r="H37" s="6"/>
      <c r="I37" s="6"/>
      <c r="J37" s="6"/>
      <c r="K37" s="6"/>
      <c r="L37" s="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4"/>
      <c r="B38" s="35"/>
      <c r="C38" s="35"/>
      <c r="D38" s="35"/>
      <c r="E38" s="35"/>
      <c r="F38" s="35"/>
      <c r="G38" s="6"/>
      <c r="H38" s="6"/>
      <c r="I38" s="6"/>
      <c r="J38" s="6"/>
      <c r="K38" s="6"/>
      <c r="L38" s="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4"/>
      <c r="B39" s="35"/>
      <c r="C39" s="35"/>
      <c r="D39" s="35"/>
      <c r="E39" s="35"/>
      <c r="F39" s="35"/>
      <c r="G39" s="6"/>
      <c r="H39" s="6"/>
      <c r="I39" s="6"/>
      <c r="J39" s="6"/>
      <c r="K39" s="6"/>
      <c r="L39" s="6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4"/>
      <c r="B40" s="35"/>
      <c r="C40" s="35"/>
      <c r="D40" s="35"/>
      <c r="E40" s="35"/>
      <c r="F40" s="35"/>
      <c r="G40" s="6"/>
      <c r="H40" s="6"/>
      <c r="I40" s="6"/>
      <c r="J40" s="6"/>
      <c r="K40" s="6"/>
      <c r="L40" s="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4"/>
      <c r="B41" s="35"/>
      <c r="C41" s="35"/>
      <c r="D41" s="35"/>
      <c r="E41" s="35"/>
      <c r="F41" s="35"/>
      <c r="G41" s="6"/>
      <c r="H41" s="6"/>
      <c r="I41" s="6"/>
      <c r="J41" s="6"/>
      <c r="K41" s="6"/>
      <c r="L41" s="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4"/>
      <c r="B42" s="35"/>
      <c r="C42" s="35"/>
      <c r="D42" s="35"/>
      <c r="E42" s="35"/>
      <c r="F42" s="35"/>
      <c r="G42" s="6"/>
      <c r="H42" s="6"/>
      <c r="I42" s="6"/>
      <c r="J42" s="6"/>
      <c r="K42" s="6"/>
      <c r="L42" s="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4"/>
      <c r="B43" s="35"/>
      <c r="C43" s="35"/>
      <c r="D43" s="35"/>
      <c r="E43" s="35"/>
      <c r="F43" s="35"/>
      <c r="G43" s="6"/>
      <c r="H43" s="6"/>
      <c r="I43" s="6"/>
      <c r="J43" s="6"/>
      <c r="K43" s="6"/>
      <c r="L43" s="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4"/>
      <c r="B44" s="35"/>
      <c r="C44" s="35"/>
      <c r="D44" s="35"/>
      <c r="E44" s="35"/>
      <c r="F44" s="35"/>
      <c r="G44" s="6"/>
      <c r="H44" s="6"/>
      <c r="I44" s="6"/>
      <c r="J44" s="6"/>
      <c r="K44" s="6"/>
      <c r="L44" s="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4"/>
      <c r="B45" s="35"/>
      <c r="C45" s="35"/>
      <c r="D45" s="35"/>
      <c r="E45" s="35"/>
      <c r="F45" s="35"/>
      <c r="G45" s="6"/>
      <c r="H45" s="6"/>
      <c r="I45" s="6"/>
      <c r="J45" s="6"/>
      <c r="K45" s="6"/>
      <c r="L45" s="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4"/>
      <c r="B46" s="35"/>
      <c r="C46" s="35"/>
      <c r="D46" s="35"/>
      <c r="E46" s="35"/>
      <c r="F46" s="35"/>
      <c r="G46" s="6"/>
      <c r="H46" s="6"/>
      <c r="I46" s="6"/>
      <c r="J46" s="6"/>
      <c r="K46" s="6"/>
      <c r="L46" s="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4"/>
      <c r="B47" s="35"/>
      <c r="C47" s="35"/>
      <c r="D47" s="35"/>
      <c r="E47" s="35"/>
      <c r="F47" s="35"/>
      <c r="G47" s="6"/>
      <c r="H47" s="6"/>
      <c r="I47" s="6"/>
      <c r="J47" s="6"/>
      <c r="K47" s="6"/>
      <c r="L47" s="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4"/>
      <c r="B48" s="35"/>
      <c r="C48" s="35"/>
      <c r="D48" s="35"/>
      <c r="E48" s="35"/>
      <c r="F48" s="35"/>
      <c r="G48" s="6"/>
      <c r="H48" s="6"/>
      <c r="I48" s="6"/>
      <c r="J48" s="6"/>
      <c r="K48" s="6"/>
      <c r="L48" s="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4"/>
      <c r="B49" s="35"/>
      <c r="C49" s="35"/>
      <c r="D49" s="35"/>
      <c r="E49" s="35"/>
      <c r="F49" s="35"/>
      <c r="G49" s="6"/>
      <c r="H49" s="6"/>
      <c r="I49" s="6"/>
      <c r="J49" s="6"/>
      <c r="K49" s="6"/>
      <c r="L49" s="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4"/>
      <c r="B50" s="35"/>
      <c r="C50" s="35"/>
      <c r="D50" s="35"/>
      <c r="E50" s="35"/>
      <c r="F50" s="35"/>
      <c r="G50" s="6"/>
      <c r="H50" s="6"/>
      <c r="I50" s="6"/>
      <c r="J50" s="6"/>
      <c r="K50" s="6"/>
      <c r="L50" s="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4"/>
      <c r="B51" s="35"/>
      <c r="C51" s="35"/>
      <c r="D51" s="35"/>
      <c r="E51" s="35"/>
      <c r="F51" s="35"/>
      <c r="G51" s="6"/>
      <c r="H51" s="6"/>
      <c r="I51" s="6"/>
      <c r="J51" s="6"/>
      <c r="K51" s="6"/>
      <c r="L51" s="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4"/>
      <c r="B52" s="35"/>
      <c r="C52" s="35"/>
      <c r="D52" s="35"/>
      <c r="E52" s="35"/>
      <c r="F52" s="35"/>
      <c r="G52" s="6"/>
      <c r="H52" s="6"/>
      <c r="I52" s="6"/>
      <c r="J52" s="6"/>
      <c r="K52" s="6"/>
      <c r="L52" s="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4"/>
      <c r="B53" s="35"/>
      <c r="C53" s="35"/>
      <c r="D53" s="35"/>
      <c r="E53" s="35"/>
      <c r="F53" s="35"/>
      <c r="G53" s="6"/>
      <c r="H53" s="6"/>
      <c r="I53" s="6"/>
      <c r="J53" s="6"/>
      <c r="K53" s="6"/>
      <c r="L53" s="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4"/>
      <c r="B54" s="35"/>
      <c r="C54" s="35"/>
      <c r="D54" s="35"/>
      <c r="E54" s="35"/>
      <c r="F54" s="35"/>
      <c r="G54" s="6"/>
      <c r="H54" s="6"/>
      <c r="I54" s="6"/>
      <c r="J54" s="6"/>
      <c r="K54" s="6"/>
      <c r="L54" s="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4"/>
      <c r="B55" s="35"/>
      <c r="C55" s="35"/>
      <c r="D55" s="35"/>
      <c r="E55" s="35"/>
      <c r="F55" s="35"/>
      <c r="G55" s="6"/>
      <c r="H55" s="6"/>
      <c r="I55" s="6"/>
      <c r="J55" s="6"/>
      <c r="K55" s="6"/>
      <c r="L55" s="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4"/>
      <c r="B56" s="35"/>
      <c r="C56" s="35"/>
      <c r="D56" s="35"/>
      <c r="E56" s="35"/>
      <c r="F56" s="35"/>
      <c r="G56" s="6"/>
      <c r="H56" s="6"/>
      <c r="I56" s="6"/>
      <c r="J56" s="6"/>
      <c r="K56" s="6"/>
      <c r="L56" s="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4"/>
      <c r="B57" s="35"/>
      <c r="C57" s="35"/>
      <c r="D57" s="35"/>
      <c r="E57" s="35"/>
      <c r="F57" s="35"/>
      <c r="G57" s="6"/>
      <c r="H57" s="6"/>
      <c r="I57" s="6"/>
      <c r="J57" s="6"/>
      <c r="K57" s="6"/>
      <c r="L57" s="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4"/>
      <c r="B58" s="35"/>
      <c r="C58" s="35"/>
      <c r="D58" s="35"/>
      <c r="E58" s="35"/>
      <c r="F58" s="35"/>
      <c r="G58" s="6"/>
      <c r="H58" s="6"/>
      <c r="I58" s="6"/>
      <c r="J58" s="6"/>
      <c r="K58" s="6"/>
      <c r="L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4"/>
      <c r="B59" s="35"/>
      <c r="C59" s="35"/>
      <c r="D59" s="35"/>
      <c r="E59" s="35"/>
      <c r="F59" s="35"/>
      <c r="G59" s="6"/>
      <c r="H59" s="6"/>
      <c r="I59" s="6"/>
      <c r="J59" s="6"/>
      <c r="K59" s="6"/>
      <c r="L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4"/>
      <c r="B60" s="35"/>
      <c r="C60" s="35"/>
      <c r="D60" s="35"/>
      <c r="E60" s="35"/>
      <c r="F60" s="35"/>
      <c r="G60" s="6"/>
      <c r="H60" s="6"/>
      <c r="I60" s="6"/>
      <c r="J60" s="6"/>
      <c r="K60" s="6"/>
      <c r="L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4"/>
      <c r="B61" s="35"/>
      <c r="C61" s="35"/>
      <c r="D61" s="35"/>
      <c r="E61" s="35"/>
      <c r="F61" s="35"/>
      <c r="G61" s="6"/>
      <c r="H61" s="6"/>
      <c r="I61" s="6"/>
      <c r="J61" s="6"/>
      <c r="K61" s="6"/>
      <c r="L61" s="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4"/>
      <c r="B62" s="35"/>
      <c r="C62" s="35"/>
      <c r="D62" s="35"/>
      <c r="E62" s="35"/>
      <c r="F62" s="35"/>
      <c r="G62" s="6"/>
      <c r="H62" s="6"/>
      <c r="I62" s="6"/>
      <c r="J62" s="6"/>
      <c r="K62" s="6"/>
      <c r="L62" s="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4"/>
      <c r="B63" s="35"/>
      <c r="C63" s="35"/>
      <c r="D63" s="35"/>
      <c r="E63" s="35"/>
      <c r="F63" s="35"/>
      <c r="G63" s="6"/>
      <c r="H63" s="6"/>
      <c r="I63" s="6"/>
      <c r="J63" s="6"/>
      <c r="K63" s="6"/>
      <c r="L63" s="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4"/>
      <c r="B64" s="35"/>
      <c r="C64" s="35"/>
      <c r="D64" s="35"/>
      <c r="E64" s="35"/>
      <c r="F64" s="35"/>
      <c r="G64" s="6"/>
      <c r="H64" s="6"/>
      <c r="I64" s="6"/>
      <c r="J64" s="6"/>
      <c r="K64" s="6"/>
      <c r="L64" s="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4"/>
      <c r="B65" s="35"/>
      <c r="C65" s="35"/>
      <c r="D65" s="35"/>
      <c r="E65" s="35"/>
      <c r="F65" s="35"/>
      <c r="G65" s="6"/>
      <c r="H65" s="6"/>
      <c r="I65" s="6"/>
      <c r="J65" s="6"/>
      <c r="K65" s="6"/>
      <c r="L65" s="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4"/>
      <c r="B66" s="35"/>
      <c r="C66" s="35"/>
      <c r="D66" s="35"/>
      <c r="E66" s="35"/>
      <c r="F66" s="35"/>
      <c r="G66" s="6"/>
      <c r="H66" s="6"/>
      <c r="I66" s="6"/>
      <c r="J66" s="6"/>
      <c r="K66" s="6"/>
      <c r="L66" s="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4"/>
      <c r="B67" s="35"/>
      <c r="C67" s="35"/>
      <c r="D67" s="35"/>
      <c r="E67" s="35"/>
      <c r="F67" s="35"/>
      <c r="G67" s="6"/>
      <c r="H67" s="6"/>
      <c r="I67" s="6"/>
      <c r="J67" s="6"/>
      <c r="K67" s="6"/>
      <c r="L67" s="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4"/>
      <c r="B68" s="35"/>
      <c r="C68" s="35"/>
      <c r="D68" s="35"/>
      <c r="E68" s="35"/>
      <c r="F68" s="35"/>
      <c r="G68" s="6"/>
      <c r="H68" s="6"/>
      <c r="I68" s="6"/>
      <c r="J68" s="6"/>
      <c r="K68" s="6"/>
      <c r="L68" s="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4"/>
      <c r="B69" s="35"/>
      <c r="C69" s="35"/>
      <c r="D69" s="35"/>
      <c r="E69" s="35"/>
      <c r="F69" s="35"/>
      <c r="G69" s="6"/>
      <c r="H69" s="6"/>
      <c r="I69" s="6"/>
      <c r="J69" s="6"/>
      <c r="K69" s="6"/>
      <c r="L69" s="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4"/>
      <c r="B70" s="35"/>
      <c r="C70" s="35"/>
      <c r="D70" s="35"/>
      <c r="E70" s="35"/>
      <c r="F70" s="35"/>
      <c r="G70" s="6"/>
      <c r="H70" s="6"/>
      <c r="I70" s="6"/>
      <c r="J70" s="6"/>
      <c r="K70" s="6"/>
      <c r="L70" s="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4"/>
      <c r="B71" s="35"/>
      <c r="C71" s="35"/>
      <c r="D71" s="35"/>
      <c r="E71" s="35"/>
      <c r="F71" s="35"/>
      <c r="G71" s="6"/>
      <c r="H71" s="6"/>
      <c r="I71" s="6"/>
      <c r="J71" s="6"/>
      <c r="K71" s="6"/>
      <c r="L71" s="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4"/>
      <c r="B72" s="35"/>
      <c r="C72" s="35"/>
      <c r="D72" s="35"/>
      <c r="E72" s="35"/>
      <c r="F72" s="35"/>
      <c r="G72" s="6"/>
      <c r="H72" s="6"/>
      <c r="I72" s="6"/>
      <c r="J72" s="6"/>
      <c r="K72" s="6"/>
      <c r="L72" s="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4"/>
      <c r="B73" s="35"/>
      <c r="C73" s="35"/>
      <c r="D73" s="35"/>
      <c r="E73" s="35"/>
      <c r="F73" s="35"/>
      <c r="G73" s="6"/>
      <c r="H73" s="6"/>
      <c r="I73" s="6"/>
      <c r="J73" s="6"/>
      <c r="K73" s="6"/>
      <c r="L73" s="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4"/>
      <c r="B74" s="35"/>
      <c r="C74" s="35"/>
      <c r="D74" s="35"/>
      <c r="E74" s="35"/>
      <c r="F74" s="35"/>
      <c r="G74" s="6"/>
      <c r="H74" s="6"/>
      <c r="I74" s="6"/>
      <c r="J74" s="6"/>
      <c r="K74" s="6"/>
      <c r="L74" s="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4"/>
      <c r="B75" s="35"/>
      <c r="C75" s="35"/>
      <c r="D75" s="35"/>
      <c r="E75" s="35"/>
      <c r="F75" s="35"/>
      <c r="G75" s="6"/>
      <c r="H75" s="6"/>
      <c r="I75" s="6"/>
      <c r="J75" s="6"/>
      <c r="K75" s="6"/>
      <c r="L75" s="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4"/>
      <c r="B76" s="35"/>
      <c r="C76" s="35"/>
      <c r="D76" s="35"/>
      <c r="E76" s="35"/>
      <c r="F76" s="35"/>
      <c r="G76" s="6"/>
      <c r="H76" s="6"/>
      <c r="I76" s="6"/>
      <c r="J76" s="6"/>
      <c r="K76" s="6"/>
      <c r="L76" s="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4"/>
      <c r="B77" s="35"/>
      <c r="C77" s="35"/>
      <c r="D77" s="35"/>
      <c r="E77" s="35"/>
      <c r="F77" s="35"/>
      <c r="G77" s="6"/>
      <c r="H77" s="6"/>
      <c r="I77" s="6"/>
      <c r="J77" s="6"/>
      <c r="K77" s="6"/>
      <c r="L77" s="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4"/>
      <c r="B78" s="35"/>
      <c r="C78" s="35"/>
      <c r="D78" s="35"/>
      <c r="E78" s="35"/>
      <c r="F78" s="35"/>
      <c r="G78" s="6"/>
      <c r="H78" s="6"/>
      <c r="I78" s="6"/>
      <c r="J78" s="6"/>
      <c r="K78" s="6"/>
      <c r="L78" s="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4"/>
      <c r="B79" s="35"/>
      <c r="C79" s="35"/>
      <c r="D79" s="35"/>
      <c r="E79" s="35"/>
      <c r="F79" s="35"/>
      <c r="G79" s="6"/>
      <c r="H79" s="6"/>
      <c r="I79" s="6"/>
      <c r="J79" s="6"/>
      <c r="K79" s="6"/>
      <c r="L79" s="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4"/>
      <c r="B80" s="35"/>
      <c r="C80" s="35"/>
      <c r="D80" s="35"/>
      <c r="E80" s="35"/>
      <c r="F80" s="35"/>
      <c r="G80" s="6"/>
      <c r="H80" s="6"/>
      <c r="I80" s="6"/>
      <c r="J80" s="6"/>
      <c r="K80" s="6"/>
      <c r="L80" s="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4"/>
      <c r="B81" s="35"/>
      <c r="C81" s="35"/>
      <c r="D81" s="35"/>
      <c r="E81" s="35"/>
      <c r="F81" s="35"/>
      <c r="G81" s="6"/>
      <c r="H81" s="6"/>
      <c r="I81" s="6"/>
      <c r="J81" s="6"/>
      <c r="K81" s="6"/>
      <c r="L81" s="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4"/>
      <c r="B82" s="35"/>
      <c r="C82" s="35"/>
      <c r="D82" s="35"/>
      <c r="E82" s="35"/>
      <c r="F82" s="35"/>
      <c r="G82" s="6"/>
      <c r="H82" s="6"/>
      <c r="I82" s="6"/>
      <c r="J82" s="6"/>
      <c r="K82" s="6"/>
      <c r="L82" s="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4"/>
      <c r="B83" s="35"/>
      <c r="C83" s="35"/>
      <c r="D83" s="35"/>
      <c r="E83" s="35"/>
      <c r="F83" s="35"/>
      <c r="G83" s="6"/>
      <c r="H83" s="6"/>
      <c r="I83" s="6"/>
      <c r="J83" s="6"/>
      <c r="K83" s="6"/>
      <c r="L83" s="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4"/>
      <c r="B84" s="35"/>
      <c r="C84" s="35"/>
      <c r="D84" s="35"/>
      <c r="E84" s="35"/>
      <c r="F84" s="35"/>
      <c r="G84" s="6"/>
      <c r="H84" s="6"/>
      <c r="I84" s="6"/>
      <c r="J84" s="6"/>
      <c r="K84" s="6"/>
      <c r="L84" s="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4"/>
      <c r="B85" s="35"/>
      <c r="C85" s="35"/>
      <c r="D85" s="35"/>
      <c r="E85" s="35"/>
      <c r="F85" s="35"/>
      <c r="G85" s="6"/>
      <c r="H85" s="6"/>
      <c r="I85" s="6"/>
      <c r="J85" s="6"/>
      <c r="K85" s="6"/>
      <c r="L85" s="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4"/>
      <c r="B86" s="35"/>
      <c r="C86" s="35"/>
      <c r="D86" s="35"/>
      <c r="E86" s="35"/>
      <c r="F86" s="35"/>
      <c r="G86" s="6"/>
      <c r="H86" s="6"/>
      <c r="I86" s="6"/>
      <c r="J86" s="6"/>
      <c r="K86" s="6"/>
      <c r="L86" s="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4"/>
      <c r="B87" s="35"/>
      <c r="C87" s="35"/>
      <c r="D87" s="35"/>
      <c r="E87" s="35"/>
      <c r="F87" s="35"/>
      <c r="G87" s="6"/>
      <c r="H87" s="6"/>
      <c r="I87" s="6"/>
      <c r="J87" s="6"/>
      <c r="K87" s="6"/>
      <c r="L87" s="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4"/>
      <c r="B88" s="35"/>
      <c r="C88" s="35"/>
      <c r="D88" s="35"/>
      <c r="E88" s="35"/>
      <c r="F88" s="35"/>
      <c r="G88" s="6"/>
      <c r="H88" s="6"/>
      <c r="I88" s="6"/>
      <c r="J88" s="6"/>
      <c r="K88" s="6"/>
      <c r="L88" s="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4"/>
      <c r="B89" s="35"/>
      <c r="C89" s="35"/>
      <c r="D89" s="35"/>
      <c r="E89" s="35"/>
      <c r="F89" s="35"/>
      <c r="G89" s="6"/>
      <c r="H89" s="6"/>
      <c r="I89" s="6"/>
      <c r="J89" s="6"/>
      <c r="K89" s="6"/>
      <c r="L89" s="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4"/>
      <c r="B90" s="35"/>
      <c r="C90" s="35"/>
      <c r="D90" s="35"/>
      <c r="E90" s="35"/>
      <c r="F90" s="35"/>
      <c r="G90" s="6"/>
      <c r="H90" s="6"/>
      <c r="I90" s="6"/>
      <c r="J90" s="6"/>
      <c r="K90" s="6"/>
      <c r="L90" s="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4"/>
      <c r="B91" s="35"/>
      <c r="C91" s="35"/>
      <c r="D91" s="35"/>
      <c r="E91" s="35"/>
      <c r="F91" s="35"/>
      <c r="G91" s="6"/>
      <c r="H91" s="6"/>
      <c r="I91" s="6"/>
      <c r="J91" s="6"/>
      <c r="K91" s="6"/>
      <c r="L91" s="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4"/>
      <c r="B92" s="35"/>
      <c r="C92" s="35"/>
      <c r="D92" s="35"/>
      <c r="E92" s="35"/>
      <c r="F92" s="35"/>
      <c r="G92" s="6"/>
      <c r="H92" s="6"/>
      <c r="I92" s="6"/>
      <c r="J92" s="6"/>
      <c r="K92" s="6"/>
      <c r="L92" s="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4"/>
      <c r="B93" s="35"/>
      <c r="C93" s="35"/>
      <c r="D93" s="35"/>
      <c r="E93" s="35"/>
      <c r="F93" s="35"/>
      <c r="G93" s="6"/>
      <c r="H93" s="6"/>
      <c r="I93" s="6"/>
      <c r="J93" s="6"/>
      <c r="K93" s="6"/>
      <c r="L93" s="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4"/>
      <c r="B94" s="35"/>
      <c r="C94" s="35"/>
      <c r="D94" s="35"/>
      <c r="E94" s="35"/>
      <c r="F94" s="35"/>
      <c r="G94" s="6"/>
      <c r="H94" s="6"/>
      <c r="I94" s="6"/>
      <c r="J94" s="6"/>
      <c r="K94" s="6"/>
      <c r="L94" s="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4"/>
      <c r="B95" s="35"/>
      <c r="C95" s="35"/>
      <c r="D95" s="35"/>
      <c r="E95" s="35"/>
      <c r="F95" s="35"/>
      <c r="G95" s="6"/>
      <c r="H95" s="6"/>
      <c r="I95" s="6"/>
      <c r="J95" s="6"/>
      <c r="K95" s="6"/>
      <c r="L95" s="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4"/>
      <c r="G98" s="6"/>
      <c r="H98" s="6"/>
      <c r="I98" s="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8"/>
      <c r="V99" s="8"/>
      <c r="W99" s="8"/>
      <c r="X99" s="8"/>
      <c r="Y99" s="8"/>
      <c r="Z99" s="8"/>
    </row>
    <row r="100">
      <c r="A100" s="34"/>
      <c r="H100" s="6"/>
      <c r="I100" s="6"/>
      <c r="J100" s="6"/>
      <c r="K100" s="6"/>
      <c r="L100" s="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8"/>
      <c r="U101" s="8"/>
      <c r="V101" s="8"/>
      <c r="W101" s="8"/>
      <c r="X101" s="8"/>
      <c r="Y101" s="8"/>
      <c r="Z101" s="8"/>
    </row>
    <row r="102">
      <c r="A102" s="3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8"/>
      <c r="X102" s="8"/>
      <c r="Y102" s="8"/>
      <c r="Z102" s="8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8"/>
      <c r="V104" s="8"/>
      <c r="W104" s="8"/>
      <c r="X104" s="8"/>
      <c r="Y104" s="8"/>
      <c r="Z104" s="8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8"/>
      <c r="Z105" s="8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0">
    <mergeCell ref="A100:G100"/>
    <mergeCell ref="A101:G101"/>
    <mergeCell ref="A102:G102"/>
    <mergeCell ref="A1:C1"/>
    <mergeCell ref="A2:B2"/>
    <mergeCell ref="A3:C3"/>
    <mergeCell ref="A5:G5"/>
    <mergeCell ref="A6:C6"/>
    <mergeCell ref="A98:F98"/>
    <mergeCell ref="A99:G9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4"/>
      <c r="B8" s="34"/>
      <c r="C8" s="34"/>
      <c r="D8" s="34"/>
      <c r="E8" s="34"/>
      <c r="F8" s="34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4"/>
      <c r="B9" s="35"/>
      <c r="C9" s="35"/>
      <c r="D9" s="35"/>
      <c r="E9" s="35"/>
      <c r="F9" s="35"/>
      <c r="G9" s="6"/>
      <c r="H9" s="6"/>
      <c r="I9" s="6"/>
      <c r="J9" s="6"/>
      <c r="K9" s="6"/>
      <c r="L9" s="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4"/>
      <c r="B10" s="35"/>
      <c r="C10" s="35"/>
      <c r="D10" s="35"/>
      <c r="E10" s="35"/>
      <c r="F10" s="35"/>
      <c r="G10" s="6"/>
      <c r="H10" s="6"/>
      <c r="I10" s="6"/>
      <c r="J10" s="6"/>
      <c r="K10" s="6"/>
      <c r="L10" s="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35"/>
      <c r="C11" s="35"/>
      <c r="D11" s="35"/>
      <c r="E11" s="35"/>
      <c r="F11" s="35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4"/>
      <c r="B12" s="35"/>
      <c r="C12" s="35"/>
      <c r="D12" s="35"/>
      <c r="E12" s="35"/>
      <c r="F12" s="35"/>
      <c r="G12" s="6"/>
      <c r="H12" s="6"/>
      <c r="I12" s="6"/>
      <c r="J12" s="6"/>
      <c r="K12" s="6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4"/>
      <c r="B13" s="35"/>
      <c r="C13" s="35"/>
      <c r="D13" s="35"/>
      <c r="E13" s="35"/>
      <c r="F13" s="35"/>
      <c r="G13" s="6"/>
      <c r="H13" s="6"/>
      <c r="I13" s="6"/>
      <c r="J13" s="6"/>
      <c r="K13" s="6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4"/>
      <c r="B14" s="35"/>
      <c r="C14" s="35"/>
      <c r="D14" s="35"/>
      <c r="E14" s="35"/>
      <c r="F14" s="35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4"/>
      <c r="B15" s="35"/>
      <c r="C15" s="35"/>
      <c r="D15" s="35"/>
      <c r="E15" s="35"/>
      <c r="F15" s="35"/>
      <c r="G15" s="6"/>
      <c r="H15" s="6"/>
      <c r="I15" s="6"/>
      <c r="J15" s="6"/>
      <c r="K15" s="6"/>
      <c r="L15" s="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4"/>
      <c r="B16" s="35"/>
      <c r="C16" s="35"/>
      <c r="D16" s="35"/>
      <c r="E16" s="35"/>
      <c r="F16" s="35"/>
      <c r="G16" s="6"/>
      <c r="H16" s="6"/>
      <c r="I16" s="6"/>
      <c r="J16" s="6"/>
      <c r="K16" s="6"/>
      <c r="L16" s="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4"/>
      <c r="B17" s="35"/>
      <c r="C17" s="35"/>
      <c r="D17" s="35"/>
      <c r="E17" s="35"/>
      <c r="F17" s="35"/>
      <c r="G17" s="6"/>
      <c r="H17" s="6"/>
      <c r="I17" s="6"/>
      <c r="J17" s="6"/>
      <c r="K17" s="6"/>
      <c r="L17" s="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4"/>
      <c r="B18" s="35"/>
      <c r="C18" s="35"/>
      <c r="D18" s="35"/>
      <c r="E18" s="35"/>
      <c r="F18" s="35"/>
      <c r="G18" s="6"/>
      <c r="H18" s="6"/>
      <c r="I18" s="6"/>
      <c r="J18" s="6"/>
      <c r="K18" s="6"/>
      <c r="L18" s="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4"/>
      <c r="B19" s="35"/>
      <c r="C19" s="35"/>
      <c r="D19" s="35"/>
      <c r="E19" s="35"/>
      <c r="F19" s="35"/>
      <c r="G19" s="6"/>
      <c r="H19" s="6"/>
      <c r="I19" s="6"/>
      <c r="J19" s="6"/>
      <c r="K19" s="6"/>
      <c r="L19" s="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4"/>
      <c r="B20" s="35"/>
      <c r="C20" s="35"/>
      <c r="D20" s="35"/>
      <c r="E20" s="35"/>
      <c r="F20" s="35"/>
      <c r="G20" s="6"/>
      <c r="H20" s="6"/>
      <c r="I20" s="6"/>
      <c r="J20" s="6"/>
      <c r="K20" s="6"/>
      <c r="L20" s="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4"/>
      <c r="B21" s="35"/>
      <c r="C21" s="35"/>
      <c r="D21" s="35"/>
      <c r="E21" s="35"/>
      <c r="F21" s="35"/>
      <c r="G21" s="6"/>
      <c r="H21" s="6"/>
      <c r="I21" s="6"/>
      <c r="J21" s="6"/>
      <c r="K21" s="6"/>
      <c r="L21" s="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4"/>
      <c r="B22" s="35"/>
      <c r="C22" s="35"/>
      <c r="D22" s="35"/>
      <c r="E22" s="35"/>
      <c r="F22" s="35"/>
      <c r="G22" s="6"/>
      <c r="H22" s="6"/>
      <c r="I22" s="6"/>
      <c r="J22" s="6"/>
      <c r="K22" s="6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4"/>
      <c r="B23" s="35"/>
      <c r="C23" s="35"/>
      <c r="D23" s="35"/>
      <c r="E23" s="35"/>
      <c r="F23" s="35"/>
      <c r="G23" s="6"/>
      <c r="H23" s="6"/>
      <c r="I23" s="6"/>
      <c r="J23" s="6"/>
      <c r="K23" s="6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4"/>
      <c r="B24" s="35"/>
      <c r="C24" s="35"/>
      <c r="D24" s="35"/>
      <c r="E24" s="35"/>
      <c r="F24" s="35"/>
      <c r="G24" s="6"/>
      <c r="H24" s="6"/>
      <c r="I24" s="6"/>
      <c r="J24" s="6"/>
      <c r="K24" s="6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4"/>
      <c r="B25" s="35"/>
      <c r="C25" s="35"/>
      <c r="D25" s="35"/>
      <c r="E25" s="35"/>
      <c r="F25" s="35"/>
      <c r="G25" s="6"/>
      <c r="H25" s="6"/>
      <c r="I25" s="6"/>
      <c r="J25" s="6"/>
      <c r="K25" s="6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4"/>
      <c r="B26" s="35"/>
      <c r="C26" s="35"/>
      <c r="D26" s="35"/>
      <c r="E26" s="35"/>
      <c r="F26" s="35"/>
      <c r="G26" s="6"/>
      <c r="H26" s="6"/>
      <c r="I26" s="6"/>
      <c r="J26" s="6"/>
      <c r="K26" s="6"/>
      <c r="L26" s="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4"/>
      <c r="B27" s="35"/>
      <c r="C27" s="35"/>
      <c r="D27" s="35"/>
      <c r="E27" s="35"/>
      <c r="F27" s="35"/>
      <c r="G27" s="6"/>
      <c r="H27" s="6"/>
      <c r="I27" s="6"/>
      <c r="J27" s="6"/>
      <c r="K27" s="6"/>
      <c r="L27" s="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4"/>
      <c r="B28" s="35"/>
      <c r="C28" s="35"/>
      <c r="D28" s="35"/>
      <c r="E28" s="35"/>
      <c r="F28" s="35"/>
      <c r="G28" s="6"/>
      <c r="H28" s="6"/>
      <c r="I28" s="6"/>
      <c r="J28" s="6"/>
      <c r="K28" s="6"/>
      <c r="L28" s="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4"/>
      <c r="B29" s="35"/>
      <c r="C29" s="35"/>
      <c r="D29" s="35"/>
      <c r="E29" s="35"/>
      <c r="F29" s="35"/>
      <c r="G29" s="6"/>
      <c r="H29" s="6"/>
      <c r="I29" s="6"/>
      <c r="J29" s="6"/>
      <c r="K29" s="6"/>
      <c r="L29" s="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4"/>
      <c r="B30" s="35"/>
      <c r="C30" s="35"/>
      <c r="D30" s="35"/>
      <c r="E30" s="35"/>
      <c r="F30" s="35"/>
      <c r="G30" s="6"/>
      <c r="H30" s="6"/>
      <c r="I30" s="6"/>
      <c r="J30" s="6"/>
      <c r="K30" s="6"/>
      <c r="L30" s="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4"/>
      <c r="B31" s="35"/>
      <c r="C31" s="35"/>
      <c r="D31" s="35"/>
      <c r="E31" s="35"/>
      <c r="F31" s="35"/>
      <c r="G31" s="6"/>
      <c r="H31" s="6"/>
      <c r="I31" s="6"/>
      <c r="J31" s="6"/>
      <c r="K31" s="6"/>
      <c r="L31" s="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4"/>
      <c r="B32" s="35"/>
      <c r="C32" s="35"/>
      <c r="D32" s="35"/>
      <c r="E32" s="35"/>
      <c r="F32" s="35"/>
      <c r="G32" s="6"/>
      <c r="H32" s="6"/>
      <c r="I32" s="6"/>
      <c r="J32" s="6"/>
      <c r="K32" s="6"/>
      <c r="L32" s="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4"/>
      <c r="B33" s="35"/>
      <c r="C33" s="35"/>
      <c r="D33" s="35"/>
      <c r="E33" s="35"/>
      <c r="F33" s="35"/>
      <c r="G33" s="6"/>
      <c r="H33" s="6"/>
      <c r="I33" s="6"/>
      <c r="J33" s="6"/>
      <c r="K33" s="6"/>
      <c r="L33" s="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4"/>
      <c r="B34" s="35"/>
      <c r="C34" s="35"/>
      <c r="D34" s="35"/>
      <c r="E34" s="35"/>
      <c r="F34" s="35"/>
      <c r="G34" s="6"/>
      <c r="H34" s="6"/>
      <c r="I34" s="6"/>
      <c r="J34" s="6"/>
      <c r="K34" s="6"/>
      <c r="L34" s="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4"/>
      <c r="B35" s="35"/>
      <c r="C35" s="35"/>
      <c r="D35" s="35"/>
      <c r="E35" s="35"/>
      <c r="F35" s="35"/>
      <c r="G35" s="6"/>
      <c r="H35" s="6"/>
      <c r="I35" s="6"/>
      <c r="J35" s="6"/>
      <c r="K35" s="6"/>
      <c r="L35" s="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4"/>
      <c r="B36" s="35"/>
      <c r="C36" s="35"/>
      <c r="D36" s="35"/>
      <c r="E36" s="35"/>
      <c r="F36" s="35"/>
      <c r="G36" s="6"/>
      <c r="H36" s="6"/>
      <c r="I36" s="6"/>
      <c r="J36" s="6"/>
      <c r="K36" s="6"/>
      <c r="L36" s="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4"/>
      <c r="B37" s="35"/>
      <c r="C37" s="35"/>
      <c r="D37" s="35"/>
      <c r="E37" s="35"/>
      <c r="F37" s="35"/>
      <c r="G37" s="6"/>
      <c r="H37" s="6"/>
      <c r="I37" s="6"/>
      <c r="J37" s="6"/>
      <c r="K37" s="6"/>
      <c r="L37" s="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4"/>
      <c r="B38" s="35"/>
      <c r="C38" s="35"/>
      <c r="D38" s="35"/>
      <c r="E38" s="35"/>
      <c r="F38" s="35"/>
      <c r="G38" s="6"/>
      <c r="H38" s="6"/>
      <c r="I38" s="6"/>
      <c r="J38" s="6"/>
      <c r="K38" s="6"/>
      <c r="L38" s="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4"/>
      <c r="B39" s="35"/>
      <c r="C39" s="35"/>
      <c r="D39" s="35"/>
      <c r="E39" s="35"/>
      <c r="F39" s="35"/>
      <c r="G39" s="6"/>
      <c r="H39" s="6"/>
      <c r="I39" s="6"/>
      <c r="J39" s="6"/>
      <c r="K39" s="6"/>
      <c r="L39" s="6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4"/>
      <c r="B40" s="35"/>
      <c r="C40" s="35"/>
      <c r="D40" s="35"/>
      <c r="E40" s="35"/>
      <c r="F40" s="35"/>
      <c r="G40" s="6"/>
      <c r="H40" s="6"/>
      <c r="I40" s="6"/>
      <c r="J40" s="6"/>
      <c r="K40" s="6"/>
      <c r="L40" s="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4"/>
      <c r="B41" s="35"/>
      <c r="C41" s="35"/>
      <c r="D41" s="35"/>
      <c r="E41" s="35"/>
      <c r="F41" s="35"/>
      <c r="G41" s="6"/>
      <c r="H41" s="6"/>
      <c r="I41" s="6"/>
      <c r="J41" s="6"/>
      <c r="K41" s="6"/>
      <c r="L41" s="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4"/>
      <c r="B42" s="35"/>
      <c r="C42" s="35"/>
      <c r="D42" s="35"/>
      <c r="E42" s="35"/>
      <c r="F42" s="35"/>
      <c r="G42" s="6"/>
      <c r="H42" s="6"/>
      <c r="I42" s="6"/>
      <c r="J42" s="6"/>
      <c r="K42" s="6"/>
      <c r="L42" s="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4"/>
      <c r="B43" s="35"/>
      <c r="C43" s="35"/>
      <c r="D43" s="35"/>
      <c r="E43" s="35"/>
      <c r="F43" s="35"/>
      <c r="G43" s="6"/>
      <c r="H43" s="6"/>
      <c r="I43" s="6"/>
      <c r="J43" s="6"/>
      <c r="K43" s="6"/>
      <c r="L43" s="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4"/>
      <c r="B44" s="35"/>
      <c r="C44" s="35"/>
      <c r="D44" s="35"/>
      <c r="E44" s="35"/>
      <c r="F44" s="35"/>
      <c r="G44" s="6"/>
      <c r="H44" s="6"/>
      <c r="I44" s="6"/>
      <c r="J44" s="6"/>
      <c r="K44" s="6"/>
      <c r="L44" s="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4"/>
      <c r="B45" s="35"/>
      <c r="C45" s="35"/>
      <c r="D45" s="35"/>
      <c r="E45" s="35"/>
      <c r="F45" s="35"/>
      <c r="G45" s="6"/>
      <c r="H45" s="6"/>
      <c r="I45" s="6"/>
      <c r="J45" s="6"/>
      <c r="K45" s="6"/>
      <c r="L45" s="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4"/>
      <c r="B46" s="35"/>
      <c r="C46" s="35"/>
      <c r="D46" s="35"/>
      <c r="E46" s="35"/>
      <c r="F46" s="35"/>
      <c r="G46" s="6"/>
      <c r="H46" s="6"/>
      <c r="I46" s="6"/>
      <c r="J46" s="6"/>
      <c r="K46" s="6"/>
      <c r="L46" s="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4"/>
      <c r="B47" s="35"/>
      <c r="C47" s="35"/>
      <c r="D47" s="35"/>
      <c r="E47" s="35"/>
      <c r="F47" s="35"/>
      <c r="G47" s="6"/>
      <c r="H47" s="6"/>
      <c r="I47" s="6"/>
      <c r="J47" s="6"/>
      <c r="K47" s="6"/>
      <c r="L47" s="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4"/>
      <c r="B48" s="35"/>
      <c r="C48" s="35"/>
      <c r="D48" s="35"/>
      <c r="E48" s="35"/>
      <c r="F48" s="35"/>
      <c r="G48" s="6"/>
      <c r="H48" s="6"/>
      <c r="I48" s="6"/>
      <c r="J48" s="6"/>
      <c r="K48" s="6"/>
      <c r="L48" s="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4"/>
      <c r="B49" s="35"/>
      <c r="C49" s="35"/>
      <c r="D49" s="35"/>
      <c r="E49" s="35"/>
      <c r="F49" s="35"/>
      <c r="G49" s="6"/>
      <c r="H49" s="6"/>
      <c r="I49" s="6"/>
      <c r="J49" s="6"/>
      <c r="K49" s="6"/>
      <c r="L49" s="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4"/>
      <c r="B50" s="35"/>
      <c r="C50" s="35"/>
      <c r="D50" s="35"/>
      <c r="E50" s="35"/>
      <c r="F50" s="35"/>
      <c r="G50" s="6"/>
      <c r="H50" s="6"/>
      <c r="I50" s="6"/>
      <c r="J50" s="6"/>
      <c r="K50" s="6"/>
      <c r="L50" s="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4"/>
      <c r="B51" s="35"/>
      <c r="C51" s="35"/>
      <c r="D51" s="35"/>
      <c r="E51" s="35"/>
      <c r="F51" s="35"/>
      <c r="G51" s="6"/>
      <c r="H51" s="6"/>
      <c r="I51" s="6"/>
      <c r="J51" s="6"/>
      <c r="K51" s="6"/>
      <c r="L51" s="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4"/>
      <c r="B52" s="35"/>
      <c r="C52" s="35"/>
      <c r="D52" s="35"/>
      <c r="E52" s="35"/>
      <c r="F52" s="35"/>
      <c r="G52" s="6"/>
      <c r="H52" s="6"/>
      <c r="I52" s="6"/>
      <c r="J52" s="6"/>
      <c r="K52" s="6"/>
      <c r="L52" s="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4"/>
      <c r="B53" s="35"/>
      <c r="C53" s="35"/>
      <c r="D53" s="35"/>
      <c r="E53" s="35"/>
      <c r="F53" s="35"/>
      <c r="G53" s="6"/>
      <c r="H53" s="6"/>
      <c r="I53" s="6"/>
      <c r="J53" s="6"/>
      <c r="K53" s="6"/>
      <c r="L53" s="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4"/>
      <c r="B54" s="35"/>
      <c r="C54" s="35"/>
      <c r="D54" s="35"/>
      <c r="E54" s="35"/>
      <c r="F54" s="35"/>
      <c r="G54" s="6"/>
      <c r="H54" s="6"/>
      <c r="I54" s="6"/>
      <c r="J54" s="6"/>
      <c r="K54" s="6"/>
      <c r="L54" s="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4"/>
      <c r="B55" s="35"/>
      <c r="C55" s="35"/>
      <c r="D55" s="35"/>
      <c r="E55" s="35"/>
      <c r="F55" s="35"/>
      <c r="G55" s="6"/>
      <c r="H55" s="6"/>
      <c r="I55" s="6"/>
      <c r="J55" s="6"/>
      <c r="K55" s="6"/>
      <c r="L55" s="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4"/>
      <c r="B56" s="35"/>
      <c r="C56" s="35"/>
      <c r="D56" s="35"/>
      <c r="E56" s="35"/>
      <c r="F56" s="35"/>
      <c r="G56" s="6"/>
      <c r="H56" s="6"/>
      <c r="I56" s="6"/>
      <c r="J56" s="6"/>
      <c r="K56" s="6"/>
      <c r="L56" s="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4"/>
      <c r="B57" s="35"/>
      <c r="C57" s="35"/>
      <c r="D57" s="35"/>
      <c r="E57" s="35"/>
      <c r="F57" s="35"/>
      <c r="G57" s="6"/>
      <c r="H57" s="6"/>
      <c r="I57" s="6"/>
      <c r="J57" s="6"/>
      <c r="K57" s="6"/>
      <c r="L57" s="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4"/>
      <c r="B58" s="35"/>
      <c r="C58" s="35"/>
      <c r="D58" s="35"/>
      <c r="E58" s="35"/>
      <c r="F58" s="35"/>
      <c r="G58" s="6"/>
      <c r="H58" s="6"/>
      <c r="I58" s="6"/>
      <c r="J58" s="6"/>
      <c r="K58" s="6"/>
      <c r="L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4"/>
      <c r="B59" s="35"/>
      <c r="C59" s="35"/>
      <c r="D59" s="35"/>
      <c r="E59" s="35"/>
      <c r="F59" s="35"/>
      <c r="G59" s="6"/>
      <c r="H59" s="6"/>
      <c r="I59" s="6"/>
      <c r="J59" s="6"/>
      <c r="K59" s="6"/>
      <c r="L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4"/>
      <c r="B60" s="35"/>
      <c r="C60" s="35"/>
      <c r="D60" s="35"/>
      <c r="E60" s="35"/>
      <c r="F60" s="35"/>
      <c r="G60" s="6"/>
      <c r="H60" s="6"/>
      <c r="I60" s="6"/>
      <c r="J60" s="6"/>
      <c r="K60" s="6"/>
      <c r="L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4"/>
      <c r="B61" s="35"/>
      <c r="C61" s="35"/>
      <c r="D61" s="35"/>
      <c r="E61" s="35"/>
      <c r="F61" s="35"/>
      <c r="G61" s="6"/>
      <c r="H61" s="6"/>
      <c r="I61" s="6"/>
      <c r="J61" s="6"/>
      <c r="K61" s="6"/>
      <c r="L61" s="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4"/>
      <c r="B62" s="35"/>
      <c r="C62" s="35"/>
      <c r="D62" s="35"/>
      <c r="E62" s="35"/>
      <c r="F62" s="35"/>
      <c r="G62" s="6"/>
      <c r="H62" s="6"/>
      <c r="I62" s="6"/>
      <c r="J62" s="6"/>
      <c r="K62" s="6"/>
      <c r="L62" s="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4"/>
      <c r="B63" s="35"/>
      <c r="C63" s="35"/>
      <c r="D63" s="35"/>
      <c r="E63" s="35"/>
      <c r="F63" s="35"/>
      <c r="G63" s="6"/>
      <c r="H63" s="6"/>
      <c r="I63" s="6"/>
      <c r="J63" s="6"/>
      <c r="K63" s="6"/>
      <c r="L63" s="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4"/>
      <c r="B64" s="35"/>
      <c r="C64" s="35"/>
      <c r="D64" s="35"/>
      <c r="E64" s="35"/>
      <c r="F64" s="35"/>
      <c r="G64" s="6"/>
      <c r="H64" s="6"/>
      <c r="I64" s="6"/>
      <c r="J64" s="6"/>
      <c r="K64" s="6"/>
      <c r="L64" s="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4"/>
      <c r="B65" s="35"/>
      <c r="C65" s="35"/>
      <c r="D65" s="35"/>
      <c r="E65" s="35"/>
      <c r="F65" s="35"/>
      <c r="G65" s="6"/>
      <c r="H65" s="6"/>
      <c r="I65" s="6"/>
      <c r="J65" s="6"/>
      <c r="K65" s="6"/>
      <c r="L65" s="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4"/>
      <c r="B66" s="35"/>
      <c r="C66" s="35"/>
      <c r="D66" s="35"/>
      <c r="E66" s="35"/>
      <c r="F66" s="35"/>
      <c r="G66" s="6"/>
      <c r="H66" s="6"/>
      <c r="I66" s="6"/>
      <c r="J66" s="6"/>
      <c r="K66" s="6"/>
      <c r="L66" s="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4"/>
      <c r="B67" s="35"/>
      <c r="C67" s="35"/>
      <c r="D67" s="35"/>
      <c r="E67" s="35"/>
      <c r="F67" s="35"/>
      <c r="G67" s="6"/>
      <c r="H67" s="6"/>
      <c r="I67" s="6"/>
      <c r="J67" s="6"/>
      <c r="K67" s="6"/>
      <c r="L67" s="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4"/>
      <c r="B68" s="35"/>
      <c r="C68" s="35"/>
      <c r="D68" s="35"/>
      <c r="E68" s="35"/>
      <c r="F68" s="35"/>
      <c r="G68" s="6"/>
      <c r="H68" s="6"/>
      <c r="I68" s="6"/>
      <c r="J68" s="6"/>
      <c r="K68" s="6"/>
      <c r="L68" s="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4"/>
      <c r="B69" s="35"/>
      <c r="C69" s="35"/>
      <c r="D69" s="35"/>
      <c r="E69" s="35"/>
      <c r="F69" s="35"/>
      <c r="G69" s="6"/>
      <c r="H69" s="6"/>
      <c r="I69" s="6"/>
      <c r="J69" s="6"/>
      <c r="K69" s="6"/>
      <c r="L69" s="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4"/>
      <c r="B70" s="35"/>
      <c r="C70" s="35"/>
      <c r="D70" s="35"/>
      <c r="E70" s="35"/>
      <c r="F70" s="35"/>
      <c r="G70" s="6"/>
      <c r="H70" s="6"/>
      <c r="I70" s="6"/>
      <c r="J70" s="6"/>
      <c r="K70" s="6"/>
      <c r="L70" s="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4"/>
      <c r="B71" s="35"/>
      <c r="C71" s="35"/>
      <c r="D71" s="35"/>
      <c r="E71" s="35"/>
      <c r="F71" s="35"/>
      <c r="G71" s="6"/>
      <c r="H71" s="6"/>
      <c r="I71" s="6"/>
      <c r="J71" s="6"/>
      <c r="K71" s="6"/>
      <c r="L71" s="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4"/>
      <c r="B72" s="35"/>
      <c r="C72" s="35"/>
      <c r="D72" s="35"/>
      <c r="E72" s="35"/>
      <c r="F72" s="35"/>
      <c r="G72" s="6"/>
      <c r="H72" s="6"/>
      <c r="I72" s="6"/>
      <c r="J72" s="6"/>
      <c r="K72" s="6"/>
      <c r="L72" s="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4"/>
      <c r="B73" s="35"/>
      <c r="C73" s="35"/>
      <c r="D73" s="35"/>
      <c r="E73" s="35"/>
      <c r="F73" s="35"/>
      <c r="G73" s="6"/>
      <c r="H73" s="6"/>
      <c r="I73" s="6"/>
      <c r="J73" s="6"/>
      <c r="K73" s="6"/>
      <c r="L73" s="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4"/>
      <c r="B74" s="35"/>
      <c r="C74" s="35"/>
      <c r="D74" s="35"/>
      <c r="E74" s="35"/>
      <c r="F74" s="35"/>
      <c r="G74" s="6"/>
      <c r="H74" s="6"/>
      <c r="I74" s="6"/>
      <c r="J74" s="6"/>
      <c r="K74" s="6"/>
      <c r="L74" s="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4"/>
      <c r="B75" s="35"/>
      <c r="C75" s="35"/>
      <c r="D75" s="35"/>
      <c r="E75" s="35"/>
      <c r="F75" s="35"/>
      <c r="G75" s="6"/>
      <c r="H75" s="6"/>
      <c r="I75" s="6"/>
      <c r="J75" s="6"/>
      <c r="K75" s="6"/>
      <c r="L75" s="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4"/>
      <c r="B76" s="35"/>
      <c r="C76" s="35"/>
      <c r="D76" s="35"/>
      <c r="E76" s="35"/>
      <c r="F76" s="35"/>
      <c r="G76" s="6"/>
      <c r="H76" s="6"/>
      <c r="I76" s="6"/>
      <c r="J76" s="6"/>
      <c r="K76" s="6"/>
      <c r="L76" s="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4"/>
      <c r="B77" s="35"/>
      <c r="C77" s="35"/>
      <c r="D77" s="35"/>
      <c r="E77" s="35"/>
      <c r="F77" s="35"/>
      <c r="G77" s="6"/>
      <c r="H77" s="6"/>
      <c r="I77" s="6"/>
      <c r="J77" s="6"/>
      <c r="K77" s="6"/>
      <c r="L77" s="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4"/>
      <c r="B78" s="35"/>
      <c r="C78" s="35"/>
      <c r="D78" s="35"/>
      <c r="E78" s="35"/>
      <c r="F78" s="35"/>
      <c r="G78" s="6"/>
      <c r="H78" s="6"/>
      <c r="I78" s="6"/>
      <c r="J78" s="6"/>
      <c r="K78" s="6"/>
      <c r="L78" s="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4"/>
      <c r="B79" s="35"/>
      <c r="C79" s="35"/>
      <c r="D79" s="35"/>
      <c r="E79" s="35"/>
      <c r="F79" s="35"/>
      <c r="G79" s="6"/>
      <c r="H79" s="6"/>
      <c r="I79" s="6"/>
      <c r="J79" s="6"/>
      <c r="K79" s="6"/>
      <c r="L79" s="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4"/>
      <c r="B80" s="35"/>
      <c r="C80" s="35"/>
      <c r="D80" s="35"/>
      <c r="E80" s="35"/>
      <c r="F80" s="35"/>
      <c r="G80" s="6"/>
      <c r="H80" s="6"/>
      <c r="I80" s="6"/>
      <c r="J80" s="6"/>
      <c r="K80" s="6"/>
      <c r="L80" s="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4"/>
      <c r="B81" s="35"/>
      <c r="C81" s="35"/>
      <c r="D81" s="35"/>
      <c r="E81" s="35"/>
      <c r="F81" s="35"/>
      <c r="G81" s="6"/>
      <c r="H81" s="6"/>
      <c r="I81" s="6"/>
      <c r="J81" s="6"/>
      <c r="K81" s="6"/>
      <c r="L81" s="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4"/>
      <c r="B82" s="35"/>
      <c r="C82" s="35"/>
      <c r="D82" s="35"/>
      <c r="E82" s="35"/>
      <c r="F82" s="35"/>
      <c r="G82" s="6"/>
      <c r="H82" s="6"/>
      <c r="I82" s="6"/>
      <c r="J82" s="6"/>
      <c r="K82" s="6"/>
      <c r="L82" s="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4"/>
      <c r="B83" s="35"/>
      <c r="C83" s="35"/>
      <c r="D83" s="35"/>
      <c r="E83" s="35"/>
      <c r="F83" s="35"/>
      <c r="G83" s="6"/>
      <c r="H83" s="6"/>
      <c r="I83" s="6"/>
      <c r="J83" s="6"/>
      <c r="K83" s="6"/>
      <c r="L83" s="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4"/>
      <c r="B84" s="35"/>
      <c r="C84" s="35"/>
      <c r="D84" s="35"/>
      <c r="E84" s="35"/>
      <c r="F84" s="35"/>
      <c r="G84" s="6"/>
      <c r="H84" s="6"/>
      <c r="I84" s="6"/>
      <c r="J84" s="6"/>
      <c r="K84" s="6"/>
      <c r="L84" s="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4"/>
      <c r="B85" s="35"/>
      <c r="C85" s="35"/>
      <c r="D85" s="35"/>
      <c r="E85" s="35"/>
      <c r="F85" s="35"/>
      <c r="G85" s="6"/>
      <c r="H85" s="6"/>
      <c r="I85" s="6"/>
      <c r="J85" s="6"/>
      <c r="K85" s="6"/>
      <c r="L85" s="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4"/>
      <c r="B86" s="35"/>
      <c r="C86" s="35"/>
      <c r="D86" s="35"/>
      <c r="E86" s="35"/>
      <c r="F86" s="35"/>
      <c r="G86" s="6"/>
      <c r="H86" s="6"/>
      <c r="I86" s="6"/>
      <c r="J86" s="6"/>
      <c r="K86" s="6"/>
      <c r="L86" s="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4"/>
      <c r="B87" s="35"/>
      <c r="C87" s="35"/>
      <c r="D87" s="35"/>
      <c r="E87" s="35"/>
      <c r="F87" s="35"/>
      <c r="G87" s="6"/>
      <c r="H87" s="6"/>
      <c r="I87" s="6"/>
      <c r="J87" s="6"/>
      <c r="K87" s="6"/>
      <c r="L87" s="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4"/>
      <c r="B88" s="35"/>
      <c r="C88" s="35"/>
      <c r="D88" s="35"/>
      <c r="E88" s="35"/>
      <c r="F88" s="35"/>
      <c r="G88" s="6"/>
      <c r="H88" s="6"/>
      <c r="I88" s="6"/>
      <c r="J88" s="6"/>
      <c r="K88" s="6"/>
      <c r="L88" s="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4"/>
      <c r="B89" s="35"/>
      <c r="C89" s="35"/>
      <c r="D89" s="35"/>
      <c r="E89" s="35"/>
      <c r="F89" s="35"/>
      <c r="G89" s="6"/>
      <c r="H89" s="6"/>
      <c r="I89" s="6"/>
      <c r="J89" s="6"/>
      <c r="K89" s="6"/>
      <c r="L89" s="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4"/>
      <c r="B90" s="35"/>
      <c r="C90" s="35"/>
      <c r="D90" s="35"/>
      <c r="E90" s="35"/>
      <c r="F90" s="35"/>
      <c r="G90" s="6"/>
      <c r="H90" s="6"/>
      <c r="I90" s="6"/>
      <c r="J90" s="6"/>
      <c r="K90" s="6"/>
      <c r="L90" s="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4"/>
      <c r="B91" s="35"/>
      <c r="C91" s="35"/>
      <c r="D91" s="35"/>
      <c r="E91" s="35"/>
      <c r="F91" s="35"/>
      <c r="G91" s="6"/>
      <c r="H91" s="6"/>
      <c r="I91" s="6"/>
      <c r="J91" s="6"/>
      <c r="K91" s="6"/>
      <c r="L91" s="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4"/>
      <c r="B92" s="35"/>
      <c r="C92" s="35"/>
      <c r="D92" s="35"/>
      <c r="E92" s="35"/>
      <c r="F92" s="35"/>
      <c r="G92" s="6"/>
      <c r="H92" s="6"/>
      <c r="I92" s="6"/>
      <c r="J92" s="6"/>
      <c r="K92" s="6"/>
      <c r="L92" s="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4"/>
      <c r="B93" s="35"/>
      <c r="C93" s="35"/>
      <c r="D93" s="35"/>
      <c r="E93" s="35"/>
      <c r="F93" s="35"/>
      <c r="G93" s="6"/>
      <c r="H93" s="6"/>
      <c r="I93" s="6"/>
      <c r="J93" s="6"/>
      <c r="K93" s="6"/>
      <c r="L93" s="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4"/>
      <c r="B94" s="35"/>
      <c r="C94" s="35"/>
      <c r="D94" s="35"/>
      <c r="E94" s="35"/>
      <c r="F94" s="35"/>
      <c r="G94" s="6"/>
      <c r="H94" s="6"/>
      <c r="I94" s="6"/>
      <c r="J94" s="6"/>
      <c r="K94" s="6"/>
      <c r="L94" s="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4"/>
      <c r="B95" s="35"/>
      <c r="C95" s="35"/>
      <c r="D95" s="35"/>
      <c r="E95" s="35"/>
      <c r="F95" s="35"/>
      <c r="G95" s="6"/>
      <c r="H95" s="6"/>
      <c r="I95" s="6"/>
      <c r="J95" s="6"/>
      <c r="K95" s="6"/>
      <c r="L95" s="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4"/>
      <c r="G98" s="6"/>
      <c r="H98" s="6"/>
      <c r="I98" s="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4"/>
      <c r="I99" s="6"/>
      <c r="J99" s="6"/>
      <c r="K99" s="6"/>
      <c r="L99" s="6"/>
      <c r="M99" s="6"/>
      <c r="N99" s="6"/>
      <c r="O99" s="6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4"/>
      <c r="I100" s="6"/>
      <c r="J100" s="6"/>
      <c r="K100" s="6"/>
      <c r="L100" s="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4"/>
      <c r="I101" s="6"/>
      <c r="J101" s="6"/>
      <c r="K101" s="6"/>
      <c r="L101" s="6"/>
      <c r="M101" s="6"/>
      <c r="N101" s="6"/>
      <c r="O101" s="6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4"/>
      <c r="I102" s="6"/>
      <c r="J102" s="6"/>
      <c r="K102" s="6"/>
      <c r="L102" s="6"/>
      <c r="M102" s="6"/>
      <c r="N102" s="6"/>
      <c r="O102" s="6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0">
    <mergeCell ref="A100:H100"/>
    <mergeCell ref="A101:H101"/>
    <mergeCell ref="A102:H102"/>
    <mergeCell ref="A1:C1"/>
    <mergeCell ref="A2:B2"/>
    <mergeCell ref="A3:C3"/>
    <mergeCell ref="A5:G5"/>
    <mergeCell ref="A6:C6"/>
    <mergeCell ref="A98:F98"/>
    <mergeCell ref="A99:H9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0"/>
  </cols>
  <sheetData>
    <row r="1">
      <c r="A1" s="2"/>
      <c r="D1" s="5"/>
      <c r="E1" s="5"/>
      <c r="F1" s="5"/>
    </row>
    <row r="2">
      <c r="A2" s="2"/>
      <c r="C2" s="5"/>
      <c r="D2" s="5"/>
      <c r="E2" s="5"/>
      <c r="F2" s="5"/>
    </row>
    <row r="3">
      <c r="A3" s="2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2"/>
    </row>
    <row r="6">
      <c r="A6" s="2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2"/>
      <c r="B8" s="2"/>
      <c r="C8" s="2"/>
      <c r="D8" s="2"/>
      <c r="E8" s="2"/>
      <c r="F8" s="2"/>
    </row>
    <row r="9">
      <c r="A9" s="2"/>
      <c r="B9" s="10"/>
      <c r="C9" s="10"/>
      <c r="D9" s="10"/>
      <c r="E9" s="10"/>
      <c r="F9" s="10"/>
    </row>
    <row r="10">
      <c r="A10" s="2"/>
      <c r="B10" s="10"/>
      <c r="C10" s="10"/>
      <c r="D10" s="10"/>
      <c r="E10" s="10"/>
      <c r="F10" s="10"/>
    </row>
    <row r="11">
      <c r="A11" s="2"/>
      <c r="B11" s="10"/>
      <c r="C11" s="10"/>
      <c r="D11" s="10"/>
      <c r="E11" s="10"/>
      <c r="F11" s="10"/>
    </row>
    <row r="12">
      <c r="A12" s="2"/>
      <c r="B12" s="10"/>
      <c r="C12" s="10"/>
      <c r="D12" s="10"/>
      <c r="E12" s="10"/>
      <c r="F12" s="10"/>
    </row>
    <row r="13">
      <c r="A13" s="2"/>
      <c r="B13" s="10"/>
      <c r="C13" s="10"/>
      <c r="D13" s="10"/>
      <c r="E13" s="10"/>
      <c r="F13" s="10"/>
    </row>
    <row r="14">
      <c r="A14" s="2"/>
      <c r="B14" s="10"/>
      <c r="C14" s="10"/>
      <c r="D14" s="10"/>
      <c r="E14" s="10"/>
      <c r="F14" s="10"/>
    </row>
    <row r="15">
      <c r="A15" s="2"/>
      <c r="B15" s="10"/>
      <c r="C15" s="10"/>
      <c r="D15" s="10"/>
      <c r="E15" s="10"/>
      <c r="F15" s="10"/>
    </row>
    <row r="16">
      <c r="A16" s="2"/>
      <c r="B16" s="10"/>
      <c r="C16" s="10"/>
      <c r="D16" s="10"/>
      <c r="E16" s="10"/>
      <c r="F16" s="10"/>
    </row>
    <row r="17">
      <c r="A17" s="2"/>
      <c r="B17" s="10"/>
      <c r="C17" s="10"/>
      <c r="D17" s="10"/>
      <c r="E17" s="10"/>
      <c r="F17" s="10"/>
    </row>
    <row r="18">
      <c r="A18" s="2"/>
      <c r="B18" s="10"/>
      <c r="C18" s="10"/>
      <c r="D18" s="10"/>
      <c r="E18" s="10"/>
      <c r="F18" s="10"/>
    </row>
    <row r="19">
      <c r="A19" s="2"/>
      <c r="B19" s="10"/>
      <c r="C19" s="10"/>
      <c r="D19" s="10"/>
      <c r="E19" s="10"/>
      <c r="F19" s="10"/>
    </row>
    <row r="20">
      <c r="A20" s="2"/>
      <c r="B20" s="10"/>
      <c r="C20" s="10"/>
      <c r="D20" s="10"/>
      <c r="E20" s="10"/>
      <c r="F20" s="10"/>
    </row>
    <row r="21">
      <c r="A21" s="2"/>
      <c r="B21" s="10"/>
      <c r="C21" s="10"/>
      <c r="D21" s="10"/>
      <c r="E21" s="10"/>
      <c r="F21" s="10"/>
    </row>
    <row r="22">
      <c r="A22" s="2"/>
      <c r="B22" s="10"/>
      <c r="C22" s="10"/>
      <c r="D22" s="10"/>
      <c r="E22" s="10"/>
      <c r="F22" s="10"/>
    </row>
    <row r="23">
      <c r="A23" s="2"/>
      <c r="B23" s="10"/>
      <c r="C23" s="10"/>
      <c r="D23" s="10"/>
      <c r="E23" s="10"/>
      <c r="F23" s="10"/>
    </row>
    <row r="24">
      <c r="A24" s="2"/>
      <c r="B24" s="10"/>
      <c r="C24" s="10"/>
      <c r="D24" s="10"/>
      <c r="E24" s="10"/>
      <c r="F24" s="10"/>
    </row>
    <row r="25">
      <c r="A25" s="2"/>
      <c r="B25" s="10"/>
      <c r="C25" s="10"/>
      <c r="D25" s="10"/>
      <c r="E25" s="10"/>
      <c r="F25" s="10"/>
    </row>
    <row r="26">
      <c r="A26" s="2"/>
      <c r="B26" s="10"/>
      <c r="C26" s="10"/>
      <c r="D26" s="10"/>
      <c r="E26" s="10"/>
      <c r="F26" s="10"/>
    </row>
    <row r="27">
      <c r="A27" s="2"/>
      <c r="B27" s="10"/>
      <c r="C27" s="10"/>
      <c r="D27" s="10"/>
      <c r="E27" s="10"/>
      <c r="F27" s="10"/>
    </row>
    <row r="28">
      <c r="A28" s="2"/>
      <c r="B28" s="10"/>
      <c r="C28" s="10"/>
      <c r="D28" s="10"/>
      <c r="E28" s="10"/>
      <c r="F28" s="10"/>
    </row>
    <row r="29">
      <c r="A29" s="2"/>
      <c r="B29" s="10"/>
      <c r="C29" s="10"/>
      <c r="D29" s="10"/>
      <c r="E29" s="10"/>
      <c r="F29" s="10"/>
    </row>
    <row r="30">
      <c r="A30" s="2"/>
      <c r="B30" s="10"/>
      <c r="C30" s="10"/>
      <c r="D30" s="10"/>
      <c r="E30" s="10"/>
      <c r="F30" s="10"/>
    </row>
    <row r="31">
      <c r="A31" s="2"/>
      <c r="B31" s="10"/>
      <c r="C31" s="10"/>
      <c r="D31" s="10"/>
      <c r="E31" s="10"/>
      <c r="F31" s="10"/>
    </row>
    <row r="32">
      <c r="A32" s="2"/>
      <c r="B32" s="10"/>
      <c r="C32" s="10"/>
      <c r="D32" s="10"/>
      <c r="E32" s="10"/>
      <c r="F32" s="10"/>
    </row>
    <row r="33">
      <c r="A33" s="2"/>
      <c r="B33" s="10"/>
      <c r="C33" s="10"/>
      <c r="D33" s="10"/>
      <c r="E33" s="10"/>
      <c r="F33" s="10"/>
    </row>
    <row r="34">
      <c r="A34" s="2"/>
      <c r="B34" s="10"/>
      <c r="C34" s="10"/>
      <c r="D34" s="10"/>
      <c r="E34" s="10"/>
      <c r="F34" s="10"/>
    </row>
    <row r="35">
      <c r="A35" s="2"/>
      <c r="B35" s="10"/>
      <c r="C35" s="10"/>
      <c r="D35" s="10"/>
      <c r="E35" s="10"/>
      <c r="F35" s="10"/>
    </row>
    <row r="36">
      <c r="A36" s="2"/>
      <c r="B36" s="10"/>
      <c r="C36" s="10"/>
      <c r="D36" s="10"/>
      <c r="E36" s="10"/>
      <c r="F36" s="10"/>
    </row>
    <row r="37">
      <c r="A37" s="2"/>
      <c r="B37" s="10"/>
      <c r="C37" s="10"/>
      <c r="D37" s="10"/>
      <c r="E37" s="10"/>
      <c r="F37" s="10"/>
    </row>
    <row r="38">
      <c r="A38" s="2"/>
      <c r="B38" s="10"/>
      <c r="C38" s="10"/>
      <c r="D38" s="10"/>
      <c r="E38" s="10"/>
      <c r="F38" s="10"/>
    </row>
    <row r="39">
      <c r="A39" s="2"/>
      <c r="B39" s="10"/>
      <c r="C39" s="10"/>
      <c r="D39" s="10"/>
      <c r="E39" s="10"/>
      <c r="F39" s="10"/>
    </row>
    <row r="40">
      <c r="A40" s="2"/>
      <c r="B40" s="10"/>
      <c r="C40" s="10"/>
      <c r="D40" s="10"/>
      <c r="E40" s="10"/>
      <c r="F40" s="10"/>
    </row>
    <row r="41">
      <c r="A41" s="2"/>
      <c r="B41" s="10"/>
      <c r="C41" s="10"/>
      <c r="D41" s="10"/>
      <c r="E41" s="10"/>
      <c r="F41" s="10"/>
    </row>
    <row r="42">
      <c r="A42" s="2"/>
      <c r="B42" s="10"/>
      <c r="C42" s="10"/>
      <c r="D42" s="10"/>
      <c r="E42" s="10"/>
      <c r="F42" s="10"/>
    </row>
    <row r="43">
      <c r="A43" s="2"/>
      <c r="B43" s="10"/>
      <c r="C43" s="10"/>
      <c r="D43" s="10"/>
      <c r="E43" s="10"/>
      <c r="F43" s="10"/>
    </row>
    <row r="44">
      <c r="A44" s="2"/>
      <c r="B44" s="10"/>
      <c r="C44" s="10"/>
      <c r="D44" s="10"/>
      <c r="E44" s="10"/>
      <c r="F44" s="10"/>
    </row>
    <row r="45">
      <c r="A45" s="2"/>
      <c r="B45" s="10"/>
      <c r="C45" s="10"/>
      <c r="D45" s="10"/>
      <c r="E45" s="10"/>
      <c r="F45" s="10"/>
    </row>
    <row r="46">
      <c r="A46" s="2"/>
      <c r="B46" s="10"/>
      <c r="C46" s="10"/>
      <c r="D46" s="10"/>
      <c r="E46" s="10"/>
      <c r="F46" s="10"/>
    </row>
    <row r="47">
      <c r="A47" s="2"/>
      <c r="B47" s="10"/>
      <c r="C47" s="10"/>
      <c r="D47" s="10"/>
      <c r="E47" s="10"/>
      <c r="F47" s="10"/>
    </row>
    <row r="48">
      <c r="A48" s="2"/>
      <c r="B48" s="10"/>
      <c r="C48" s="10"/>
      <c r="D48" s="10"/>
      <c r="E48" s="10"/>
      <c r="F48" s="10"/>
    </row>
    <row r="49">
      <c r="A49" s="2"/>
      <c r="B49" s="10"/>
      <c r="C49" s="10"/>
      <c r="D49" s="10"/>
      <c r="E49" s="10"/>
      <c r="F49" s="10"/>
    </row>
    <row r="50">
      <c r="A50" s="2"/>
      <c r="B50" s="10"/>
      <c r="C50" s="10"/>
      <c r="D50" s="10"/>
      <c r="E50" s="10"/>
      <c r="F50" s="10"/>
    </row>
    <row r="51">
      <c r="A51" s="2"/>
      <c r="B51" s="10"/>
      <c r="C51" s="10"/>
      <c r="D51" s="10"/>
      <c r="E51" s="10"/>
      <c r="F51" s="10"/>
    </row>
    <row r="52">
      <c r="A52" s="2"/>
      <c r="B52" s="10"/>
      <c r="C52" s="10"/>
      <c r="D52" s="10"/>
      <c r="E52" s="10"/>
      <c r="F52" s="10"/>
    </row>
    <row r="53">
      <c r="A53" s="2"/>
      <c r="B53" s="10"/>
      <c r="C53" s="10"/>
      <c r="D53" s="10"/>
      <c r="E53" s="10"/>
      <c r="F53" s="10"/>
    </row>
    <row r="54">
      <c r="A54" s="2"/>
      <c r="B54" s="10"/>
      <c r="C54" s="10"/>
      <c r="D54" s="10"/>
      <c r="E54" s="10"/>
      <c r="F54" s="10"/>
    </row>
    <row r="55">
      <c r="A55" s="2"/>
      <c r="B55" s="10"/>
      <c r="C55" s="10"/>
      <c r="D55" s="10"/>
      <c r="E55" s="10"/>
      <c r="F55" s="10"/>
    </row>
    <row r="56">
      <c r="A56" s="2"/>
      <c r="B56" s="10"/>
      <c r="C56" s="10"/>
      <c r="D56" s="10"/>
      <c r="E56" s="10"/>
      <c r="F56" s="10"/>
    </row>
    <row r="57">
      <c r="A57" s="2"/>
      <c r="B57" s="10"/>
      <c r="C57" s="10"/>
      <c r="D57" s="10"/>
      <c r="E57" s="10"/>
      <c r="F57" s="10"/>
    </row>
    <row r="58">
      <c r="A58" s="2"/>
      <c r="B58" s="10"/>
      <c r="C58" s="10"/>
      <c r="D58" s="10"/>
      <c r="E58" s="10"/>
      <c r="F58" s="10"/>
    </row>
    <row r="59">
      <c r="A59" s="2"/>
      <c r="B59" s="10"/>
      <c r="C59" s="10"/>
      <c r="D59" s="10"/>
      <c r="E59" s="10"/>
      <c r="F59" s="10"/>
    </row>
    <row r="60">
      <c r="A60" s="2"/>
      <c r="B60" s="10"/>
      <c r="C60" s="10"/>
      <c r="D60" s="10"/>
      <c r="E60" s="10"/>
      <c r="F60" s="10"/>
    </row>
    <row r="61">
      <c r="A61" s="2"/>
      <c r="B61" s="10"/>
      <c r="C61" s="10"/>
      <c r="D61" s="10"/>
      <c r="E61" s="10"/>
      <c r="F61" s="10"/>
    </row>
    <row r="62">
      <c r="A62" s="2"/>
      <c r="B62" s="10"/>
      <c r="C62" s="10"/>
      <c r="D62" s="10"/>
      <c r="E62" s="10"/>
      <c r="F62" s="10"/>
    </row>
    <row r="63">
      <c r="A63" s="2"/>
      <c r="B63" s="10"/>
      <c r="C63" s="10"/>
      <c r="D63" s="10"/>
      <c r="E63" s="10"/>
      <c r="F63" s="10"/>
    </row>
    <row r="64">
      <c r="A64" s="2"/>
      <c r="B64" s="10"/>
      <c r="C64" s="10"/>
      <c r="D64" s="10"/>
      <c r="E64" s="10"/>
      <c r="F64" s="10"/>
    </row>
    <row r="65">
      <c r="A65" s="2"/>
      <c r="B65" s="10"/>
      <c r="C65" s="10"/>
      <c r="D65" s="10"/>
      <c r="E65" s="10"/>
      <c r="F65" s="10"/>
    </row>
    <row r="66">
      <c r="A66" s="2"/>
      <c r="B66" s="10"/>
      <c r="C66" s="10"/>
      <c r="D66" s="10"/>
      <c r="E66" s="10"/>
      <c r="F66" s="10"/>
    </row>
    <row r="67">
      <c r="A67" s="2"/>
      <c r="B67" s="10"/>
      <c r="C67" s="10"/>
      <c r="D67" s="10"/>
      <c r="E67" s="10"/>
      <c r="F67" s="10"/>
    </row>
    <row r="68">
      <c r="A68" s="2"/>
      <c r="B68" s="10"/>
      <c r="C68" s="10"/>
      <c r="D68" s="10"/>
      <c r="E68" s="10"/>
      <c r="F68" s="10"/>
    </row>
    <row r="69">
      <c r="A69" s="2"/>
      <c r="B69" s="10"/>
      <c r="C69" s="10"/>
      <c r="D69" s="10"/>
      <c r="E69" s="10"/>
      <c r="F69" s="10"/>
    </row>
    <row r="70">
      <c r="A70" s="2"/>
      <c r="B70" s="10"/>
      <c r="C70" s="10"/>
      <c r="D70" s="10"/>
      <c r="E70" s="10"/>
      <c r="F70" s="10"/>
    </row>
    <row r="71">
      <c r="A71" s="2"/>
      <c r="B71" s="10"/>
      <c r="C71" s="10"/>
      <c r="D71" s="10"/>
      <c r="E71" s="10"/>
      <c r="F71" s="10"/>
    </row>
    <row r="72">
      <c r="A72" s="2"/>
      <c r="B72" s="10"/>
      <c r="C72" s="10"/>
      <c r="D72" s="10"/>
      <c r="E72" s="10"/>
      <c r="F72" s="10"/>
    </row>
    <row r="73">
      <c r="A73" s="2"/>
      <c r="B73" s="10"/>
      <c r="C73" s="10"/>
      <c r="D73" s="10"/>
      <c r="E73" s="10"/>
      <c r="F73" s="10"/>
    </row>
    <row r="74">
      <c r="A74" s="2"/>
      <c r="B74" s="10"/>
      <c r="C74" s="10"/>
      <c r="D74" s="10"/>
      <c r="E74" s="10"/>
      <c r="F74" s="10"/>
    </row>
    <row r="75">
      <c r="A75" s="2"/>
      <c r="B75" s="10"/>
      <c r="C75" s="10"/>
      <c r="D75" s="10"/>
      <c r="E75" s="10"/>
      <c r="F75" s="10"/>
    </row>
    <row r="76">
      <c r="A76" s="2"/>
      <c r="B76" s="10"/>
      <c r="C76" s="10"/>
      <c r="D76" s="10"/>
      <c r="E76" s="10"/>
      <c r="F76" s="10"/>
    </row>
    <row r="77">
      <c r="A77" s="2"/>
      <c r="B77" s="10"/>
      <c r="C77" s="10"/>
      <c r="D77" s="10"/>
      <c r="E77" s="10"/>
      <c r="F77" s="10"/>
    </row>
    <row r="78">
      <c r="A78" s="2"/>
      <c r="B78" s="10"/>
      <c r="C78" s="10"/>
      <c r="D78" s="10"/>
      <c r="E78" s="10"/>
      <c r="F78" s="10"/>
    </row>
    <row r="79">
      <c r="A79" s="2"/>
      <c r="B79" s="10"/>
      <c r="C79" s="10"/>
      <c r="D79" s="10"/>
      <c r="E79" s="10"/>
      <c r="F79" s="10"/>
    </row>
    <row r="80">
      <c r="A80" s="2"/>
      <c r="B80" s="10"/>
      <c r="C80" s="10"/>
      <c r="D80" s="10"/>
      <c r="E80" s="10"/>
      <c r="F80" s="10"/>
    </row>
    <row r="81">
      <c r="A81" s="2"/>
      <c r="B81" s="10"/>
      <c r="C81" s="10"/>
      <c r="D81" s="10"/>
      <c r="E81" s="10"/>
      <c r="F81" s="10"/>
    </row>
    <row r="82">
      <c r="A82" s="2"/>
      <c r="B82" s="10"/>
      <c r="C82" s="10"/>
      <c r="D82" s="10"/>
      <c r="E82" s="10"/>
      <c r="F82" s="10"/>
    </row>
    <row r="83">
      <c r="A83" s="2"/>
      <c r="B83" s="10"/>
      <c r="C83" s="10"/>
      <c r="D83" s="10"/>
      <c r="E83" s="10"/>
      <c r="F83" s="10"/>
    </row>
    <row r="84">
      <c r="A84" s="2"/>
      <c r="B84" s="10"/>
      <c r="C84" s="10"/>
      <c r="D84" s="10"/>
      <c r="E84" s="10"/>
      <c r="F84" s="10"/>
    </row>
    <row r="85">
      <c r="A85" s="2"/>
      <c r="B85" s="10"/>
      <c r="C85" s="10"/>
      <c r="D85" s="10"/>
      <c r="E85" s="10"/>
      <c r="F85" s="10"/>
    </row>
    <row r="86">
      <c r="A86" s="2"/>
      <c r="B86" s="10"/>
      <c r="C86" s="10"/>
      <c r="D86" s="10"/>
      <c r="E86" s="10"/>
      <c r="F86" s="10"/>
    </row>
    <row r="87">
      <c r="A87" s="2"/>
      <c r="B87" s="10"/>
      <c r="C87" s="10"/>
      <c r="D87" s="10"/>
      <c r="E87" s="10"/>
      <c r="F87" s="10"/>
    </row>
    <row r="88">
      <c r="A88" s="2"/>
      <c r="B88" s="10"/>
      <c r="C88" s="10"/>
      <c r="D88" s="10"/>
      <c r="E88" s="10"/>
      <c r="F88" s="10"/>
    </row>
    <row r="89">
      <c r="A89" s="2"/>
      <c r="B89" s="10"/>
      <c r="C89" s="10"/>
      <c r="D89" s="10"/>
      <c r="E89" s="10"/>
      <c r="F89" s="10"/>
    </row>
    <row r="90">
      <c r="A90" s="2"/>
      <c r="B90" s="10"/>
      <c r="C90" s="10"/>
      <c r="D90" s="10"/>
      <c r="E90" s="10"/>
      <c r="F90" s="10"/>
    </row>
    <row r="91">
      <c r="A91" s="2"/>
      <c r="B91" s="10"/>
      <c r="C91" s="10"/>
      <c r="D91" s="10"/>
      <c r="E91" s="10"/>
      <c r="F91" s="10"/>
    </row>
    <row r="92">
      <c r="A92" s="2"/>
      <c r="B92" s="10"/>
      <c r="C92" s="10"/>
      <c r="D92" s="10"/>
      <c r="E92" s="10"/>
      <c r="F92" s="10"/>
    </row>
    <row r="93">
      <c r="A93" s="2"/>
      <c r="B93" s="10"/>
      <c r="C93" s="10"/>
      <c r="D93" s="10"/>
      <c r="E93" s="10"/>
      <c r="F93" s="10"/>
    </row>
    <row r="94">
      <c r="A94" s="2"/>
      <c r="B94" s="10"/>
      <c r="C94" s="10"/>
      <c r="D94" s="10"/>
      <c r="E94" s="10"/>
      <c r="F94" s="10"/>
    </row>
    <row r="95">
      <c r="A95" s="2"/>
      <c r="B95" s="10"/>
      <c r="C95" s="10"/>
      <c r="D95" s="10"/>
      <c r="E95" s="10"/>
      <c r="F95" s="10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</sheetData>
  <mergeCells count="10">
    <mergeCell ref="A100:F100"/>
    <mergeCell ref="A101:F101"/>
    <mergeCell ref="A102:F102"/>
    <mergeCell ref="A1:C1"/>
    <mergeCell ref="A2:B2"/>
    <mergeCell ref="A3:C3"/>
    <mergeCell ref="A5:F5"/>
    <mergeCell ref="A6:C6"/>
    <mergeCell ref="A98:F98"/>
    <mergeCell ref="A99:F99"/>
  </mergeCells>
  <drawing r:id="rId1"/>
</worksheet>
</file>